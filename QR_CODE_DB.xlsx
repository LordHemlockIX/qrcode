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grigi002\Documents\3.Python\QRCode\"/>
    </mc:Choice>
  </mc:AlternateContent>
  <xr:revisionPtr revIDLastSave="0" documentId="13_ncr:1_{EE0CF748-007E-4847-AEE6-4F6B4FCCA9FE}" xr6:coauthVersionLast="47" xr6:coauthVersionMax="47" xr10:uidLastSave="{00000000-0000-0000-0000-000000000000}"/>
  <bookViews>
    <workbookView xWindow="-27660" yWindow="1140" windowWidth="21600" windowHeight="11175" xr2:uid="{686B3B1A-F58B-46B4-A24C-43697D94DFA4}"/>
  </bookViews>
  <sheets>
    <sheet name="QR_Info" sheetId="1" r:id="rId1"/>
    <sheet name="Alphanumeric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6" i="1"/>
  <c r="Q2" i="1"/>
  <c r="Q3" i="1"/>
  <c r="Q5" i="1"/>
  <c r="Q7" i="1"/>
  <c r="Q8" i="1"/>
  <c r="Q9" i="1"/>
  <c r="H10" i="1"/>
  <c r="H3" i="1"/>
  <c r="H4" i="1"/>
  <c r="H5" i="1"/>
  <c r="H6" i="1"/>
  <c r="H7" i="1"/>
  <c r="H8" i="1"/>
  <c r="H9" i="1"/>
  <c r="H2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2" i="1"/>
  <c r="C3" i="1"/>
  <c r="C4" i="1"/>
  <c r="C5" i="1"/>
  <c r="C6" i="1"/>
  <c r="C7" i="1"/>
  <c r="C8" i="1"/>
  <c r="C9" i="1"/>
  <c r="C1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2" i="1"/>
  <c r="H20" i="1"/>
  <c r="H21" i="1"/>
  <c r="I21" i="1" s="1"/>
  <c r="H22" i="1"/>
  <c r="L22" i="1" s="1"/>
  <c r="H23" i="1"/>
  <c r="L23" i="1" s="1"/>
  <c r="H24" i="1"/>
  <c r="I24" i="1" s="1"/>
  <c r="H25" i="1"/>
  <c r="L25" i="1" s="1"/>
  <c r="H26" i="1"/>
  <c r="H27" i="1"/>
  <c r="H28" i="1"/>
  <c r="H29" i="1"/>
  <c r="J29" i="1" s="1"/>
  <c r="H30" i="1"/>
  <c r="J30" i="1" s="1"/>
  <c r="H31" i="1"/>
  <c r="K31" i="1" s="1"/>
  <c r="H32" i="1"/>
  <c r="K32" i="1" s="1"/>
  <c r="H33" i="1"/>
  <c r="L33" i="1" s="1"/>
  <c r="H34" i="1"/>
  <c r="H35" i="1"/>
  <c r="I35" i="1" s="1"/>
  <c r="H36" i="1"/>
  <c r="L36" i="1" s="1"/>
  <c r="H37" i="1"/>
  <c r="L37" i="1" s="1"/>
  <c r="H38" i="1"/>
  <c r="I38" i="1" s="1"/>
  <c r="H39" i="1"/>
  <c r="L39" i="1" s="1"/>
  <c r="H40" i="1"/>
  <c r="H41" i="1"/>
  <c r="H42" i="1"/>
  <c r="H43" i="1"/>
  <c r="J43" i="1" s="1"/>
  <c r="H44" i="1"/>
  <c r="J44" i="1" s="1"/>
  <c r="H45" i="1"/>
  <c r="K45" i="1" s="1"/>
  <c r="H46" i="1"/>
  <c r="K46" i="1" s="1"/>
  <c r="H47" i="1"/>
  <c r="L47" i="1" s="1"/>
  <c r="H48" i="1"/>
  <c r="K48" i="1" s="1"/>
  <c r="H49" i="1"/>
  <c r="I49" i="1" s="1"/>
  <c r="H50" i="1"/>
  <c r="L50" i="1" s="1"/>
  <c r="H51" i="1"/>
  <c r="L51" i="1" s="1"/>
  <c r="H52" i="1"/>
  <c r="H53" i="1"/>
  <c r="L53" i="1" s="1"/>
  <c r="H54" i="1"/>
  <c r="H55" i="1"/>
  <c r="H56" i="1"/>
  <c r="H57" i="1"/>
  <c r="J57" i="1" s="1"/>
  <c r="H58" i="1"/>
  <c r="J58" i="1" s="1"/>
  <c r="H59" i="1"/>
  <c r="K59" i="1" s="1"/>
  <c r="H60" i="1"/>
  <c r="K60" i="1" s="1"/>
  <c r="H61" i="1"/>
  <c r="L61" i="1" s="1"/>
  <c r="H62" i="1"/>
  <c r="H63" i="1"/>
  <c r="H64" i="1"/>
  <c r="L64" i="1" s="1"/>
  <c r="H65" i="1"/>
  <c r="L65" i="1" s="1"/>
  <c r="H66" i="1"/>
  <c r="I66" i="1" s="1"/>
  <c r="H67" i="1"/>
  <c r="L67" i="1" s="1"/>
  <c r="H68" i="1"/>
  <c r="H69" i="1"/>
  <c r="H70" i="1"/>
  <c r="H71" i="1"/>
  <c r="J71" i="1" s="1"/>
  <c r="H72" i="1"/>
  <c r="J72" i="1" s="1"/>
  <c r="H73" i="1"/>
  <c r="K73" i="1" s="1"/>
  <c r="H74" i="1"/>
  <c r="K74" i="1" s="1"/>
  <c r="H75" i="1"/>
  <c r="L75" i="1" s="1"/>
  <c r="H76" i="1"/>
  <c r="H77" i="1"/>
  <c r="H78" i="1"/>
  <c r="H79" i="1"/>
  <c r="H80" i="1"/>
  <c r="I80" i="1" s="1"/>
  <c r="H81" i="1"/>
  <c r="L81" i="1" s="1"/>
  <c r="H82" i="1"/>
  <c r="H83" i="1"/>
  <c r="H84" i="1"/>
  <c r="H85" i="1"/>
  <c r="J85" i="1" s="1"/>
  <c r="H86" i="1"/>
  <c r="J86" i="1" s="1"/>
  <c r="H87" i="1"/>
  <c r="K87" i="1" s="1"/>
  <c r="H88" i="1"/>
  <c r="K88" i="1" s="1"/>
  <c r="H89" i="1"/>
  <c r="L89" i="1" s="1"/>
  <c r="H90" i="1"/>
  <c r="K90" i="1" s="1"/>
  <c r="H91" i="1"/>
  <c r="I91" i="1" s="1"/>
  <c r="H92" i="1"/>
  <c r="L92" i="1" s="1"/>
  <c r="H93" i="1"/>
  <c r="L93" i="1" s="1"/>
  <c r="H94" i="1"/>
  <c r="I94" i="1" s="1"/>
  <c r="H95" i="1"/>
  <c r="L95" i="1" s="1"/>
  <c r="H96" i="1"/>
  <c r="H97" i="1"/>
  <c r="H98" i="1"/>
  <c r="H99" i="1"/>
  <c r="J99" i="1" s="1"/>
  <c r="H100" i="1"/>
  <c r="J100" i="1" s="1"/>
  <c r="H101" i="1"/>
  <c r="K101" i="1" s="1"/>
  <c r="H102" i="1"/>
  <c r="K102" i="1" s="1"/>
  <c r="H103" i="1"/>
  <c r="L103" i="1" s="1"/>
  <c r="H104" i="1"/>
  <c r="H105" i="1"/>
  <c r="I105" i="1" s="1"/>
  <c r="H106" i="1"/>
  <c r="L106" i="1" s="1"/>
  <c r="H107" i="1"/>
  <c r="L107" i="1" s="1"/>
  <c r="H108" i="1"/>
  <c r="I108" i="1" s="1"/>
  <c r="H109" i="1"/>
  <c r="L109" i="1" s="1"/>
  <c r="H110" i="1"/>
  <c r="H111" i="1"/>
  <c r="H112" i="1"/>
  <c r="H113" i="1"/>
  <c r="J113" i="1" s="1"/>
  <c r="H114" i="1"/>
  <c r="J114" i="1" s="1"/>
  <c r="H115" i="1"/>
  <c r="K115" i="1" s="1"/>
  <c r="H116" i="1"/>
  <c r="K116" i="1" s="1"/>
  <c r="H117" i="1"/>
  <c r="L117" i="1" s="1"/>
  <c r="H118" i="1"/>
  <c r="H119" i="1"/>
  <c r="H120" i="1"/>
  <c r="L120" i="1" s="1"/>
  <c r="H121" i="1"/>
  <c r="L121" i="1" s="1"/>
  <c r="H122" i="1"/>
  <c r="I122" i="1" s="1"/>
  <c r="H123" i="1"/>
  <c r="L123" i="1" s="1"/>
  <c r="H124" i="1"/>
  <c r="H125" i="1"/>
  <c r="H126" i="1"/>
  <c r="H127" i="1"/>
  <c r="J127" i="1" s="1"/>
  <c r="H128" i="1"/>
  <c r="J128" i="1" s="1"/>
  <c r="H129" i="1"/>
  <c r="K129" i="1" s="1"/>
  <c r="H130" i="1"/>
  <c r="K130" i="1" s="1"/>
  <c r="H131" i="1"/>
  <c r="L131" i="1" s="1"/>
  <c r="H132" i="1"/>
  <c r="K132" i="1" s="1"/>
  <c r="H133" i="1"/>
  <c r="I133" i="1" s="1"/>
  <c r="H134" i="1"/>
  <c r="L134" i="1" s="1"/>
  <c r="H135" i="1"/>
  <c r="L135" i="1" s="1"/>
  <c r="H136" i="1"/>
  <c r="I136" i="1" s="1"/>
  <c r="H137" i="1"/>
  <c r="L137" i="1" s="1"/>
  <c r="H138" i="1"/>
  <c r="H139" i="1"/>
  <c r="H140" i="1"/>
  <c r="H141" i="1"/>
  <c r="J141" i="1" s="1"/>
  <c r="H142" i="1"/>
  <c r="J142" i="1" s="1"/>
  <c r="H143" i="1"/>
  <c r="K143" i="1" s="1"/>
  <c r="H144" i="1"/>
  <c r="K144" i="1" s="1"/>
  <c r="H145" i="1"/>
  <c r="L145" i="1" s="1"/>
  <c r="H146" i="1"/>
  <c r="H147" i="1"/>
  <c r="I147" i="1" s="1"/>
  <c r="H148" i="1"/>
  <c r="L148" i="1" s="1"/>
  <c r="H149" i="1"/>
  <c r="L149" i="1" s="1"/>
  <c r="H150" i="1"/>
  <c r="I150" i="1" s="1"/>
  <c r="H151" i="1"/>
  <c r="L151" i="1" s="1"/>
  <c r="H152" i="1"/>
  <c r="J152" i="1" s="1"/>
  <c r="H153" i="1"/>
  <c r="H154" i="1"/>
  <c r="H155" i="1"/>
  <c r="J155" i="1" s="1"/>
  <c r="H156" i="1"/>
  <c r="J156" i="1" s="1"/>
  <c r="H157" i="1"/>
  <c r="K157" i="1" s="1"/>
  <c r="H158" i="1"/>
  <c r="K158" i="1" s="1"/>
  <c r="H159" i="1"/>
  <c r="L159" i="1" s="1"/>
  <c r="H160" i="1"/>
  <c r="H161" i="1"/>
  <c r="H162" i="1"/>
  <c r="L162" i="1" s="1"/>
  <c r="H163" i="1"/>
  <c r="H164" i="1"/>
  <c r="I164" i="1" s="1"/>
  <c r="H165" i="1"/>
  <c r="L165" i="1" s="1"/>
  <c r="H166" i="1"/>
  <c r="H167" i="1"/>
  <c r="H168" i="1"/>
  <c r="H169" i="1"/>
  <c r="J169" i="1" s="1"/>
  <c r="K10" i="1"/>
  <c r="H11" i="1"/>
  <c r="H12" i="1"/>
  <c r="H13" i="1"/>
  <c r="J13" i="1" s="1"/>
  <c r="H14" i="1"/>
  <c r="H15" i="1"/>
  <c r="H16" i="1"/>
  <c r="J16" i="1" s="1"/>
  <c r="H17" i="1"/>
  <c r="K17" i="1" s="1"/>
  <c r="H18" i="1"/>
  <c r="K18" i="1" s="1"/>
  <c r="H19" i="1"/>
  <c r="K19" i="1" s="1"/>
  <c r="Q106" i="1"/>
  <c r="Q94" i="1"/>
  <c r="Q95" i="1"/>
  <c r="Q96" i="1"/>
  <c r="Q97" i="1"/>
  <c r="Q98" i="1"/>
  <c r="Q99" i="1"/>
  <c r="Q100" i="1"/>
  <c r="Q101" i="1"/>
  <c r="Q102" i="1"/>
  <c r="Q103" i="1"/>
  <c r="Q104" i="1"/>
  <c r="Q105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93" i="1"/>
  <c r="Q92" i="1"/>
  <c r="Q91" i="1"/>
  <c r="Q9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50" i="1"/>
  <c r="Q49" i="1"/>
  <c r="Q38" i="1"/>
  <c r="Q39" i="1"/>
  <c r="Q40" i="1"/>
  <c r="Q41" i="1"/>
  <c r="Q42" i="1"/>
  <c r="Q43" i="1"/>
  <c r="Q44" i="1"/>
  <c r="Q45" i="1"/>
  <c r="Q46" i="1"/>
  <c r="Q47" i="1"/>
  <c r="Q48" i="1"/>
  <c r="Q28" i="1"/>
  <c r="Q29" i="1"/>
  <c r="Q30" i="1"/>
  <c r="Q31" i="1"/>
  <c r="Q32" i="1"/>
  <c r="Q33" i="1"/>
  <c r="Q34" i="1"/>
  <c r="Q35" i="1"/>
  <c r="Q36" i="1"/>
  <c r="Q37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L168" i="1"/>
  <c r="J167" i="1"/>
  <c r="J166" i="1"/>
  <c r="L163" i="1"/>
  <c r="I161" i="1"/>
  <c r="K160" i="1"/>
  <c r="L154" i="1"/>
  <c r="J153" i="1"/>
  <c r="K146" i="1"/>
  <c r="L140" i="1"/>
  <c r="J139" i="1"/>
  <c r="J138" i="1"/>
  <c r="L126" i="1"/>
  <c r="J125" i="1"/>
  <c r="J124" i="1"/>
  <c r="I119" i="1"/>
  <c r="K118" i="1"/>
  <c r="L112" i="1"/>
  <c r="J111" i="1"/>
  <c r="J110" i="1"/>
  <c r="K104" i="1"/>
  <c r="L98" i="1"/>
  <c r="J97" i="1"/>
  <c r="J96" i="1"/>
  <c r="L84" i="1"/>
  <c r="J83" i="1"/>
  <c r="J82" i="1"/>
  <c r="L79" i="1"/>
  <c r="L78" i="1"/>
  <c r="I77" i="1"/>
  <c r="K76" i="1"/>
  <c r="L70" i="1"/>
  <c r="J69" i="1"/>
  <c r="J68" i="1"/>
  <c r="I63" i="1"/>
  <c r="K62" i="1"/>
  <c r="L56" i="1"/>
  <c r="J55" i="1"/>
  <c r="J54" i="1"/>
  <c r="I52" i="1"/>
  <c r="L42" i="1"/>
  <c r="J41" i="1"/>
  <c r="J40" i="1"/>
  <c r="K34" i="1"/>
  <c r="L28" i="1"/>
  <c r="J27" i="1"/>
  <c r="J26" i="1"/>
  <c r="K20" i="1"/>
  <c r="L11" i="1"/>
  <c r="J12" i="1"/>
  <c r="L14" i="1"/>
  <c r="J15" i="1"/>
  <c r="J47" i="1" l="1"/>
  <c r="I160" i="1"/>
  <c r="J14" i="1"/>
  <c r="K38" i="1"/>
  <c r="I168" i="1"/>
  <c r="J11" i="1"/>
  <c r="K117" i="1"/>
  <c r="J42" i="1"/>
  <c r="I98" i="1"/>
  <c r="I70" i="1"/>
  <c r="K27" i="1"/>
  <c r="I62" i="1"/>
  <c r="K24" i="1"/>
  <c r="I56" i="1"/>
  <c r="L169" i="1"/>
  <c r="I34" i="1"/>
  <c r="L127" i="1"/>
  <c r="I28" i="1"/>
  <c r="L38" i="1"/>
  <c r="J140" i="1"/>
  <c r="L29" i="1"/>
  <c r="J70" i="1"/>
  <c r="L24" i="1"/>
  <c r="J56" i="1"/>
  <c r="L150" i="1"/>
  <c r="L136" i="1"/>
  <c r="J168" i="1"/>
  <c r="K136" i="1"/>
  <c r="L122" i="1"/>
  <c r="J154" i="1"/>
  <c r="K125" i="1"/>
  <c r="L119" i="1"/>
  <c r="K150" i="1"/>
  <c r="I10" i="1"/>
  <c r="J145" i="1"/>
  <c r="K122" i="1"/>
  <c r="L102" i="1"/>
  <c r="L77" i="1"/>
  <c r="I126" i="1"/>
  <c r="J117" i="1"/>
  <c r="K89" i="1"/>
  <c r="L74" i="1"/>
  <c r="I37" i="1"/>
  <c r="I118" i="1"/>
  <c r="J112" i="1"/>
  <c r="K75" i="1"/>
  <c r="L71" i="1"/>
  <c r="I104" i="1"/>
  <c r="J103" i="1"/>
  <c r="K52" i="1"/>
  <c r="L52" i="1"/>
  <c r="I163" i="1"/>
  <c r="I93" i="1"/>
  <c r="K167" i="1"/>
  <c r="K69" i="1"/>
  <c r="I154" i="1"/>
  <c r="I90" i="1"/>
  <c r="I23" i="1"/>
  <c r="J98" i="1"/>
  <c r="K164" i="1"/>
  <c r="K114" i="1"/>
  <c r="K66" i="1"/>
  <c r="L164" i="1"/>
  <c r="L116" i="1"/>
  <c r="L66" i="1"/>
  <c r="I149" i="1"/>
  <c r="I84" i="1"/>
  <c r="I20" i="1"/>
  <c r="J89" i="1"/>
  <c r="K159" i="1"/>
  <c r="K111" i="1"/>
  <c r="K61" i="1"/>
  <c r="L161" i="1"/>
  <c r="L113" i="1"/>
  <c r="L63" i="1"/>
  <c r="I146" i="1"/>
  <c r="I79" i="1"/>
  <c r="I17" i="1"/>
  <c r="J84" i="1"/>
  <c r="K156" i="1"/>
  <c r="K108" i="1"/>
  <c r="K58" i="1"/>
  <c r="L158" i="1"/>
  <c r="L108" i="1"/>
  <c r="L60" i="1"/>
  <c r="K72" i="1"/>
  <c r="I140" i="1"/>
  <c r="I76" i="1"/>
  <c r="I14" i="1"/>
  <c r="J75" i="1"/>
  <c r="K153" i="1"/>
  <c r="K103" i="1"/>
  <c r="K55" i="1"/>
  <c r="L155" i="1"/>
  <c r="L105" i="1"/>
  <c r="L57" i="1"/>
  <c r="I135" i="1"/>
  <c r="I132" i="1"/>
  <c r="I65" i="1"/>
  <c r="J159" i="1"/>
  <c r="J61" i="1"/>
  <c r="K145" i="1"/>
  <c r="K97" i="1"/>
  <c r="K47" i="1"/>
  <c r="L147" i="1"/>
  <c r="L99" i="1"/>
  <c r="L49" i="1"/>
  <c r="K142" i="1"/>
  <c r="K94" i="1"/>
  <c r="K44" i="1"/>
  <c r="L144" i="1"/>
  <c r="L94" i="1"/>
  <c r="L46" i="1"/>
  <c r="K100" i="1"/>
  <c r="I121" i="1"/>
  <c r="K139" i="1"/>
  <c r="K41" i="1"/>
  <c r="L141" i="1"/>
  <c r="L91" i="1"/>
  <c r="L43" i="1"/>
  <c r="I51" i="1"/>
  <c r="K86" i="1"/>
  <c r="L88" i="1"/>
  <c r="I112" i="1"/>
  <c r="I48" i="1"/>
  <c r="J131" i="1"/>
  <c r="J33" i="1"/>
  <c r="K131" i="1"/>
  <c r="K83" i="1"/>
  <c r="K33" i="1"/>
  <c r="L133" i="1"/>
  <c r="L85" i="1"/>
  <c r="L35" i="1"/>
  <c r="I107" i="1"/>
  <c r="I42" i="1"/>
  <c r="J126" i="1"/>
  <c r="J28" i="1"/>
  <c r="K128" i="1"/>
  <c r="K80" i="1"/>
  <c r="K30" i="1"/>
  <c r="L130" i="1"/>
  <c r="L80" i="1"/>
  <c r="L32" i="1"/>
  <c r="J165" i="1"/>
  <c r="J151" i="1"/>
  <c r="J123" i="1"/>
  <c r="J109" i="1"/>
  <c r="J95" i="1"/>
  <c r="J81" i="1"/>
  <c r="J67" i="1"/>
  <c r="J53" i="1"/>
  <c r="J39" i="1"/>
  <c r="J25" i="1"/>
  <c r="K16" i="1"/>
  <c r="L21" i="1"/>
  <c r="I159" i="1"/>
  <c r="I145" i="1"/>
  <c r="I131" i="1"/>
  <c r="I117" i="1"/>
  <c r="I103" i="1"/>
  <c r="I89" i="1"/>
  <c r="I75" i="1"/>
  <c r="I61" i="1"/>
  <c r="I47" i="1"/>
  <c r="I33" i="1"/>
  <c r="I19" i="1"/>
  <c r="J164" i="1"/>
  <c r="J150" i="1"/>
  <c r="J136" i="1"/>
  <c r="J122" i="1"/>
  <c r="J108" i="1"/>
  <c r="J94" i="1"/>
  <c r="J80" i="1"/>
  <c r="J66" i="1"/>
  <c r="J52" i="1"/>
  <c r="J38" i="1"/>
  <c r="J24" i="1"/>
  <c r="K169" i="1"/>
  <c r="K155" i="1"/>
  <c r="K141" i="1"/>
  <c r="K127" i="1"/>
  <c r="K113" i="1"/>
  <c r="K99" i="1"/>
  <c r="K85" i="1"/>
  <c r="K71" i="1"/>
  <c r="K57" i="1"/>
  <c r="K43" i="1"/>
  <c r="K29" i="1"/>
  <c r="K15" i="1"/>
  <c r="L160" i="1"/>
  <c r="L146" i="1"/>
  <c r="L132" i="1"/>
  <c r="L118" i="1"/>
  <c r="L104" i="1"/>
  <c r="L90" i="1"/>
  <c r="L76" i="1"/>
  <c r="L62" i="1"/>
  <c r="L48" i="1"/>
  <c r="L34" i="1"/>
  <c r="L20" i="1"/>
  <c r="J137" i="1"/>
  <c r="I158" i="1"/>
  <c r="I144" i="1"/>
  <c r="I130" i="1"/>
  <c r="I116" i="1"/>
  <c r="I102" i="1"/>
  <c r="I88" i="1"/>
  <c r="I74" i="1"/>
  <c r="I60" i="1"/>
  <c r="I46" i="1"/>
  <c r="I32" i="1"/>
  <c r="I18" i="1"/>
  <c r="J163" i="1"/>
  <c r="J149" i="1"/>
  <c r="J135" i="1"/>
  <c r="J121" i="1"/>
  <c r="J107" i="1"/>
  <c r="J93" i="1"/>
  <c r="J79" i="1"/>
  <c r="J65" i="1"/>
  <c r="J51" i="1"/>
  <c r="J37" i="1"/>
  <c r="J23" i="1"/>
  <c r="K168" i="1"/>
  <c r="K154" i="1"/>
  <c r="K140" i="1"/>
  <c r="K126" i="1"/>
  <c r="K112" i="1"/>
  <c r="K98" i="1"/>
  <c r="K84" i="1"/>
  <c r="K70" i="1"/>
  <c r="K56" i="1"/>
  <c r="K42" i="1"/>
  <c r="K28" i="1"/>
  <c r="K14" i="1"/>
  <c r="L19" i="1"/>
  <c r="J162" i="1"/>
  <c r="J148" i="1"/>
  <c r="J134" i="1"/>
  <c r="J120" i="1"/>
  <c r="J106" i="1"/>
  <c r="J92" i="1"/>
  <c r="J78" i="1"/>
  <c r="J50" i="1"/>
  <c r="J36" i="1"/>
  <c r="K13" i="1"/>
  <c r="L18" i="1"/>
  <c r="I143" i="1"/>
  <c r="I115" i="1"/>
  <c r="I101" i="1"/>
  <c r="I87" i="1"/>
  <c r="I59" i="1"/>
  <c r="I45" i="1"/>
  <c r="I31" i="1"/>
  <c r="J22" i="1"/>
  <c r="I156" i="1"/>
  <c r="I142" i="1"/>
  <c r="I128" i="1"/>
  <c r="I114" i="1"/>
  <c r="I100" i="1"/>
  <c r="I86" i="1"/>
  <c r="I72" i="1"/>
  <c r="I58" i="1"/>
  <c r="I44" i="1"/>
  <c r="I30" i="1"/>
  <c r="I16" i="1"/>
  <c r="J161" i="1"/>
  <c r="J147" i="1"/>
  <c r="J133" i="1"/>
  <c r="J119" i="1"/>
  <c r="J105" i="1"/>
  <c r="J91" i="1"/>
  <c r="J77" i="1"/>
  <c r="J63" i="1"/>
  <c r="J49" i="1"/>
  <c r="J35" i="1"/>
  <c r="J21" i="1"/>
  <c r="K166" i="1"/>
  <c r="K152" i="1"/>
  <c r="K138" i="1"/>
  <c r="K124" i="1"/>
  <c r="K110" i="1"/>
  <c r="K96" i="1"/>
  <c r="K82" i="1"/>
  <c r="K68" i="1"/>
  <c r="K54" i="1"/>
  <c r="K40" i="1"/>
  <c r="K26" i="1"/>
  <c r="K12" i="1"/>
  <c r="L157" i="1"/>
  <c r="L143" i="1"/>
  <c r="L129" i="1"/>
  <c r="L115" i="1"/>
  <c r="L101" i="1"/>
  <c r="L87" i="1"/>
  <c r="L73" i="1"/>
  <c r="L59" i="1"/>
  <c r="L45" i="1"/>
  <c r="L31" i="1"/>
  <c r="L17" i="1"/>
  <c r="I157" i="1"/>
  <c r="I129" i="1"/>
  <c r="I73" i="1"/>
  <c r="J64" i="1"/>
  <c r="I169" i="1"/>
  <c r="I155" i="1"/>
  <c r="I141" i="1"/>
  <c r="I127" i="1"/>
  <c r="I113" i="1"/>
  <c r="I99" i="1"/>
  <c r="I85" i="1"/>
  <c r="I71" i="1"/>
  <c r="I57" i="1"/>
  <c r="I43" i="1"/>
  <c r="I29" i="1"/>
  <c r="I15" i="1"/>
  <c r="J160" i="1"/>
  <c r="J146" i="1"/>
  <c r="J132" i="1"/>
  <c r="J118" i="1"/>
  <c r="J104" i="1"/>
  <c r="J90" i="1"/>
  <c r="J76" i="1"/>
  <c r="J62" i="1"/>
  <c r="J48" i="1"/>
  <c r="J34" i="1"/>
  <c r="J20" i="1"/>
  <c r="K165" i="1"/>
  <c r="K151" i="1"/>
  <c r="K137" i="1"/>
  <c r="K123" i="1"/>
  <c r="K109" i="1"/>
  <c r="K95" i="1"/>
  <c r="K81" i="1"/>
  <c r="K67" i="1"/>
  <c r="K53" i="1"/>
  <c r="K39" i="1"/>
  <c r="K25" i="1"/>
  <c r="K11" i="1"/>
  <c r="L156" i="1"/>
  <c r="L142" i="1"/>
  <c r="L128" i="1"/>
  <c r="L114" i="1"/>
  <c r="L100" i="1"/>
  <c r="L86" i="1"/>
  <c r="L72" i="1"/>
  <c r="L58" i="1"/>
  <c r="L44" i="1"/>
  <c r="L30" i="1"/>
  <c r="L16" i="1"/>
  <c r="L15" i="1"/>
  <c r="I167" i="1"/>
  <c r="I153" i="1"/>
  <c r="I139" i="1"/>
  <c r="I125" i="1"/>
  <c r="I111" i="1"/>
  <c r="I97" i="1"/>
  <c r="I83" i="1"/>
  <c r="I69" i="1"/>
  <c r="I55" i="1"/>
  <c r="I41" i="1"/>
  <c r="I27" i="1"/>
  <c r="I13" i="1"/>
  <c r="J158" i="1"/>
  <c r="J144" i="1"/>
  <c r="J130" i="1"/>
  <c r="J116" i="1"/>
  <c r="J102" i="1"/>
  <c r="J88" i="1"/>
  <c r="J74" i="1"/>
  <c r="J60" i="1"/>
  <c r="J46" i="1"/>
  <c r="J32" i="1"/>
  <c r="J18" i="1"/>
  <c r="K163" i="1"/>
  <c r="K149" i="1"/>
  <c r="K135" i="1"/>
  <c r="K121" i="1"/>
  <c r="K107" i="1"/>
  <c r="K93" i="1"/>
  <c r="K79" i="1"/>
  <c r="K65" i="1"/>
  <c r="K51" i="1"/>
  <c r="K37" i="1"/>
  <c r="K23" i="1"/>
  <c r="J19" i="1"/>
  <c r="I166" i="1"/>
  <c r="I152" i="1"/>
  <c r="I138" i="1"/>
  <c r="I124" i="1"/>
  <c r="I110" i="1"/>
  <c r="I96" i="1"/>
  <c r="I82" i="1"/>
  <c r="I68" i="1"/>
  <c r="I54" i="1"/>
  <c r="I40" i="1"/>
  <c r="I26" i="1"/>
  <c r="I12" i="1"/>
  <c r="J157" i="1"/>
  <c r="J143" i="1"/>
  <c r="J129" i="1"/>
  <c r="J115" i="1"/>
  <c r="J101" i="1"/>
  <c r="J87" i="1"/>
  <c r="J73" i="1"/>
  <c r="J59" i="1"/>
  <c r="J45" i="1"/>
  <c r="J31" i="1"/>
  <c r="J17" i="1"/>
  <c r="K162" i="1"/>
  <c r="K148" i="1"/>
  <c r="K134" i="1"/>
  <c r="K120" i="1"/>
  <c r="K106" i="1"/>
  <c r="K92" i="1"/>
  <c r="K78" i="1"/>
  <c r="K64" i="1"/>
  <c r="K50" i="1"/>
  <c r="K36" i="1"/>
  <c r="K22" i="1"/>
  <c r="L167" i="1"/>
  <c r="L153" i="1"/>
  <c r="L139" i="1"/>
  <c r="L125" i="1"/>
  <c r="L111" i="1"/>
  <c r="L97" i="1"/>
  <c r="L83" i="1"/>
  <c r="L69" i="1"/>
  <c r="L55" i="1"/>
  <c r="L41" i="1"/>
  <c r="L27" i="1"/>
  <c r="L13" i="1"/>
  <c r="J10" i="1"/>
  <c r="I165" i="1"/>
  <c r="I151" i="1"/>
  <c r="I137" i="1"/>
  <c r="I123" i="1"/>
  <c r="I109" i="1"/>
  <c r="I95" i="1"/>
  <c r="I81" i="1"/>
  <c r="I67" i="1"/>
  <c r="I53" i="1"/>
  <c r="I39" i="1"/>
  <c r="I25" i="1"/>
  <c r="I11" i="1"/>
  <c r="K161" i="1"/>
  <c r="K147" i="1"/>
  <c r="K133" i="1"/>
  <c r="K119" i="1"/>
  <c r="K105" i="1"/>
  <c r="K91" i="1"/>
  <c r="K77" i="1"/>
  <c r="K63" i="1"/>
  <c r="K49" i="1"/>
  <c r="K35" i="1"/>
  <c r="K21" i="1"/>
  <c r="L166" i="1"/>
  <c r="L152" i="1"/>
  <c r="L138" i="1"/>
  <c r="L124" i="1"/>
  <c r="L110" i="1"/>
  <c r="L96" i="1"/>
  <c r="L82" i="1"/>
  <c r="L68" i="1"/>
  <c r="L54" i="1"/>
  <c r="L40" i="1"/>
  <c r="L26" i="1"/>
  <c r="L12" i="1"/>
  <c r="L10" i="1"/>
  <c r="I162" i="1"/>
  <c r="I148" i="1"/>
  <c r="I134" i="1"/>
  <c r="I120" i="1"/>
  <c r="I106" i="1"/>
  <c r="I92" i="1"/>
  <c r="I78" i="1"/>
  <c r="I64" i="1"/>
  <c r="I50" i="1"/>
  <c r="I36" i="1"/>
  <c r="I22" i="1"/>
</calcChain>
</file>

<file path=xl/sharedStrings.xml><?xml version="1.0" encoding="utf-8"?>
<sst xmlns="http://schemas.openxmlformats.org/spreadsheetml/2006/main" count="376" uniqueCount="91">
  <si>
    <t>Version</t>
  </si>
  <si>
    <t>Modules</t>
  </si>
  <si>
    <t>Row/Col</t>
  </si>
  <si>
    <t>6,18</t>
  </si>
  <si>
    <t>6,22</t>
  </si>
  <si>
    <t>6,26</t>
  </si>
  <si>
    <t>6,30</t>
  </si>
  <si>
    <t>6,34</t>
  </si>
  <si>
    <t>6,22,38</t>
  </si>
  <si>
    <t>6,24,42</t>
  </si>
  <si>
    <t>6,26,46</t>
  </si>
  <si>
    <t>6,28,50</t>
  </si>
  <si>
    <t>6,30,54</t>
  </si>
  <si>
    <t>6,32,58</t>
  </si>
  <si>
    <t>6,34,62</t>
  </si>
  <si>
    <t>Char.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</si>
  <si>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</si>
  <si>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</si>
  <si>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</si>
  <si>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</si>
  <si>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</si>
  <si>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</si>
  <si>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</si>
  <si>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</si>
  <si>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</si>
  <si>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</si>
  <si>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</si>
  <si>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</si>
  <si>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</si>
  <si>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</si>
  <si>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U</t>
  </si>
  <si>
    <t>V</t>
  </si>
  <si>
    <t>W</t>
  </si>
  <si>
    <t>X</t>
  </si>
  <si>
    <t>Y</t>
  </si>
  <si>
    <t>Z</t>
  </si>
  <si>
    <t>SP</t>
  </si>
  <si>
    <t>$</t>
  </si>
  <si>
    <t>%</t>
  </si>
  <si>
    <t>*</t>
  </si>
  <si>
    <t>+</t>
  </si>
  <si>
    <t>-</t>
  </si>
  <si>
    <t>.</t>
  </si>
  <si>
    <t>:</t>
  </si>
  <si>
    <t>O</t>
  </si>
  <si>
    <t>P</t>
  </si>
  <si>
    <t>Q</t>
  </si>
  <si>
    <t>R</t>
  </si>
  <si>
    <t>S</t>
  </si>
  <si>
    <t>T</t>
  </si>
  <si>
    <t>/</t>
  </si>
  <si>
    <t>6,26,46,66</t>
  </si>
  <si>
    <t>6,26,48,70</t>
  </si>
  <si>
    <t>6,26,50,74</t>
  </si>
  <si>
    <t>6,30,54,78</t>
  </si>
  <si>
    <t>6,30,56,82</t>
  </si>
  <si>
    <t>6,30,58,86</t>
  </si>
  <si>
    <t>6,34,62,90</t>
  </si>
  <si>
    <t>6,28,50,72,94</t>
  </si>
  <si>
    <t>6,26,50,74,98</t>
  </si>
  <si>
    <t>6,30,54,78,102</t>
  </si>
  <si>
    <t>6,28,54,80,106</t>
  </si>
  <si>
    <t>6,32,58,84,110</t>
  </si>
  <si>
    <t>6,30,58,86,114</t>
  </si>
  <si>
    <t>6,34,62,90,118</t>
  </si>
  <si>
    <t>6,26,50,74,98,122</t>
  </si>
  <si>
    <t>6,30,54,78,102,126</t>
  </si>
  <si>
    <t>6,26,52,78,104,130</t>
  </si>
  <si>
    <t>6,30,56,82,108,134</t>
  </si>
  <si>
    <t>6,34,60,86,112,138</t>
  </si>
  <si>
    <t>6,30,58,86,114,142</t>
  </si>
  <si>
    <t>6,34,62,90,118,146</t>
  </si>
  <si>
    <t>6,30,54,78,102,126,150</t>
  </si>
  <si>
    <t>6,24,50,76,102,128,154</t>
  </si>
  <si>
    <t>6,28,54,80,106,132,158</t>
  </si>
  <si>
    <t>6,32,58,84,110,136,162</t>
  </si>
  <si>
    <t>6,26,54,82,110,138,166</t>
  </si>
  <si>
    <t>6,30,58,86,114,142,170</t>
  </si>
  <si>
    <t>EC</t>
  </si>
  <si>
    <t>Number of data codewords</t>
  </si>
  <si>
    <t>Number of data bits</t>
  </si>
  <si>
    <t>Numeric</t>
  </si>
  <si>
    <t>Alphanumeric</t>
  </si>
  <si>
    <t>Byte</t>
  </si>
  <si>
    <t>Kanji</t>
  </si>
  <si>
    <t>Number of EC codewords</t>
  </si>
  <si>
    <t>Number of Alignment Pattern</t>
  </si>
  <si>
    <t>Error correction per block</t>
  </si>
  <si>
    <t>Value of p</t>
  </si>
  <si>
    <t>Number of error correction blocks - 1</t>
  </si>
  <si>
    <t>Total number of codewords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</si>
</sst>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AD84-10BA-4CCE-B216-09FF8960B1A4}">
  <dimension ref="A1:R169"/>
  <sheetViews>
    <sheetView tabSelected="1" topLeftCell="A28" zoomScale="84" workbookViewId="0">
      <selection activeCell="D34" sqref="D34"/>
    </sheetView>
  </sheetViews>
  <sheetFormatPr defaultRowHeight="14.5" x14ac:dyDescent="0.35"/>
  <cols>
    <col min="1" max="1" width="8.81640625" style="1" bestFit="1" customWidth="1"/>
    <col min="2" max="2" width="9.81640625" style="1" bestFit="1" customWidth="1"/>
    <col min="3" max="3" width="31.6328125" style="1" bestFit="1" customWidth="1"/>
    <col min="4" max="4" width="20.26953125" style="6" customWidth="1"/>
    <col min="5" max="5" width="4.08984375" style="1" bestFit="1" customWidth="1"/>
    <col min="6" max="6" width="29.7265625" style="1" bestFit="1" customWidth="1"/>
    <col min="7" max="7" width="29.26953125" style="1" bestFit="1" customWidth="1"/>
    <col min="8" max="8" width="21.6328125" style="1" bestFit="1" customWidth="1"/>
    <col min="9" max="9" width="9.81640625" style="1" bestFit="1" customWidth="1"/>
    <col min="10" max="10" width="15.36328125" style="1" bestFit="1" customWidth="1"/>
    <col min="11" max="11" width="5.54296875" style="1" bestFit="1" customWidth="1"/>
    <col min="12" max="12" width="6.08984375" style="1" customWidth="1"/>
    <col min="13" max="13" width="27.6328125" bestFit="1" customWidth="1"/>
    <col min="14" max="14" width="27.6328125" customWidth="1"/>
    <col min="15" max="15" width="36.6328125" style="1" bestFit="1" customWidth="1"/>
    <col min="16" max="17" width="36.6328125" style="1" customWidth="1"/>
    <col min="18" max="18" width="15.6328125" bestFit="1" customWidth="1"/>
  </cols>
  <sheetData>
    <row r="1" spans="1:18" ht="17" x14ac:dyDescent="0.4">
      <c r="A1" s="8" t="s">
        <v>0</v>
      </c>
      <c r="B1" s="8" t="s">
        <v>1</v>
      </c>
      <c r="C1" s="8" t="s">
        <v>86</v>
      </c>
      <c r="D1" s="9" t="s">
        <v>2</v>
      </c>
      <c r="E1" s="8" t="s">
        <v>78</v>
      </c>
      <c r="F1" s="8" t="s">
        <v>90</v>
      </c>
      <c r="G1" s="8" t="s">
        <v>79</v>
      </c>
      <c r="H1" s="8" t="s">
        <v>80</v>
      </c>
      <c r="I1" s="8" t="s">
        <v>81</v>
      </c>
      <c r="J1" s="8" t="s">
        <v>82</v>
      </c>
      <c r="K1" s="8" t="s">
        <v>83</v>
      </c>
      <c r="L1" s="8" t="s">
        <v>84</v>
      </c>
      <c r="M1" s="8" t="s">
        <v>85</v>
      </c>
      <c r="N1" s="8" t="s">
        <v>88</v>
      </c>
      <c r="O1" s="10" t="s">
        <v>89</v>
      </c>
      <c r="P1" s="10" t="s">
        <v>89</v>
      </c>
      <c r="Q1" s="8" t="s">
        <v>87</v>
      </c>
    </row>
    <row r="2" spans="1:18" x14ac:dyDescent="0.35">
      <c r="A2" s="4">
        <v>-4</v>
      </c>
      <c r="B2" s="5">
        <f t="shared" ref="B2:B65" si="0">IF(A2&lt;0,11 + (4+A2)*2,21 + (A2-1)*4)</f>
        <v>11</v>
      </c>
      <c r="C2" s="5">
        <f t="shared" ref="C2:C65" si="1">IF(A2&lt;=1, 0,
IF(AND(A2&gt;1, A2&lt;7), 1,
IF(AND(A2&gt;=7, A2&lt;14), 6,
IF(AND(A2&gt;=14, A2&lt;21), 13,
IF(AND(A2&gt;=21, A2&lt;28), 22,
IF(AND(A2&gt;=28, A2&lt;35), 33,
IF(A2&gt;=35, 46, "")))))))</f>
        <v>0</v>
      </c>
      <c r="D2" s="5"/>
      <c r="F2" s="1">
        <v>5</v>
      </c>
      <c r="G2" s="1">
        <v>3</v>
      </c>
      <c r="H2" s="1">
        <f>IF(OR(A2=-2,A2=-4),G2*8-4,G2*8)</f>
        <v>20</v>
      </c>
      <c r="I2" s="1">
        <v>5</v>
      </c>
      <c r="M2" s="1">
        <v>2</v>
      </c>
      <c r="N2" s="1">
        <v>2</v>
      </c>
      <c r="O2" s="1">
        <v>1</v>
      </c>
      <c r="P2" s="1">
        <v>0</v>
      </c>
      <c r="Q2" s="1" t="str">
        <f t="shared" ref="Q2:Q4" si="2">IF(P2=0,
(M2+G2)/O2&amp;","&amp;(G2/O2)&amp;","&amp;IF(N2&lt;2,_xlfn.FLOOR.MATH(((M2+G2)/O2-G2/O2)/2),_xlfn.FLOOR.MATH(((M2+G2)/O2-G2/O2)/2)-1),
_xlfn.FLOOR.MATH((M2+G2)/(O2+P2))&amp;","&amp;_xlfn.FLOOR.MATH((G2/(O2+P2)))&amp;","&amp;IF(N2&lt;2,_xlfn.FLOOR.MATH(((M2+G2)/(O2+P2)-G2/(O2+P2))/2),_xlfn.FLOOR.MATH(((M2+G2)/(O2+P2)-G2/(O2+P2))/2)-1)&amp;";"&amp;
_xlfn.CEILING.MATH((M2+G2)/(O2+P2))&amp;","&amp;_xlfn.CEILING.MATH((G2/(O2+P2)))&amp;","&amp;IF(N2&lt;2,_xlfn.CEILING.MATH(((M2+G2)/(O2+P2)-G2/(O2+P2))/2),_xlfn.CEILING.MATH(((M2+G2)/(O2+P2)-G2/(O2+P2))/2)-1))</f>
        <v>5,3,0</v>
      </c>
      <c r="R2" s="1"/>
    </row>
    <row r="3" spans="1:18" x14ac:dyDescent="0.35">
      <c r="A3" s="4">
        <v>-3</v>
      </c>
      <c r="B3" s="5">
        <f t="shared" si="0"/>
        <v>13</v>
      </c>
      <c r="C3" s="5">
        <f t="shared" si="1"/>
        <v>0</v>
      </c>
      <c r="D3" s="5"/>
      <c r="E3" s="1" t="s">
        <v>27</v>
      </c>
      <c r="F3" s="1">
        <v>10</v>
      </c>
      <c r="G3" s="1">
        <v>5</v>
      </c>
      <c r="H3" s="1">
        <f t="shared" ref="H3:H9" si="3">IF(OR(A3=-2,A3=-4),G3*8-4,G3*8)</f>
        <v>40</v>
      </c>
      <c r="I3" s="1">
        <v>10</v>
      </c>
      <c r="J3" s="1">
        <v>6</v>
      </c>
      <c r="M3" s="1">
        <v>5</v>
      </c>
      <c r="N3" s="1">
        <v>3</v>
      </c>
      <c r="O3" s="1">
        <v>1</v>
      </c>
      <c r="P3" s="1">
        <v>0</v>
      </c>
      <c r="Q3" s="1" t="str">
        <f t="shared" si="2"/>
        <v>10,5,1</v>
      </c>
      <c r="R3" s="1"/>
    </row>
    <row r="4" spans="1:18" x14ac:dyDescent="0.35">
      <c r="A4" s="4">
        <v>-3</v>
      </c>
      <c r="B4" s="5">
        <f t="shared" si="0"/>
        <v>13</v>
      </c>
      <c r="C4" s="5">
        <f t="shared" si="1"/>
        <v>0</v>
      </c>
      <c r="D4" s="5"/>
      <c r="E4" s="1" t="s">
        <v>28</v>
      </c>
      <c r="F4" s="1">
        <v>10</v>
      </c>
      <c r="G4" s="1">
        <v>4</v>
      </c>
      <c r="H4" s="1">
        <f t="shared" si="3"/>
        <v>32</v>
      </c>
      <c r="I4" s="1">
        <v>8</v>
      </c>
      <c r="J4" s="1">
        <v>5</v>
      </c>
      <c r="M4" s="1">
        <v>6</v>
      </c>
      <c r="N4" s="1">
        <v>2</v>
      </c>
      <c r="O4" s="1">
        <v>1</v>
      </c>
      <c r="P4" s="1">
        <v>0</v>
      </c>
      <c r="Q4" s="1" t="str">
        <f t="shared" si="2"/>
        <v>10,4,2</v>
      </c>
      <c r="R4" s="1"/>
    </row>
    <row r="5" spans="1:18" x14ac:dyDescent="0.35">
      <c r="A5" s="4">
        <v>-2</v>
      </c>
      <c r="B5" s="5">
        <f t="shared" si="0"/>
        <v>15</v>
      </c>
      <c r="C5" s="5">
        <f t="shared" si="1"/>
        <v>0</v>
      </c>
      <c r="D5" s="5"/>
      <c r="E5" s="1" t="s">
        <v>27</v>
      </c>
      <c r="F5" s="1">
        <v>17</v>
      </c>
      <c r="G5" s="1">
        <v>11</v>
      </c>
      <c r="H5" s="1">
        <f t="shared" si="3"/>
        <v>84</v>
      </c>
      <c r="I5" s="1">
        <v>23</v>
      </c>
      <c r="J5" s="1">
        <v>14</v>
      </c>
      <c r="K5" s="1">
        <v>9</v>
      </c>
      <c r="L5" s="1">
        <v>6</v>
      </c>
      <c r="M5" s="1">
        <v>6</v>
      </c>
      <c r="N5" s="1">
        <v>2</v>
      </c>
      <c r="O5" s="1">
        <v>1</v>
      </c>
      <c r="P5" s="1">
        <v>0</v>
      </c>
      <c r="Q5" s="1" t="str">
        <f t="shared" ref="Q5:Q41" si="4">IF(P5=0,
(M5+G5)/O5&amp;","&amp;(G5/O5)&amp;","&amp;IF(N5&lt;2,_xlfn.FLOOR.MATH(((M5+G5)/O5-G5/O5)/2),_xlfn.FLOOR.MATH(((M5+G5)/O5-G5/O5)/2)-1),
_xlfn.FLOOR.MATH((M5+G5)/(O5+P5))&amp;","&amp;_xlfn.FLOOR.MATH((G5/(O5+P5)))&amp;","&amp;IF(N5&lt;2,_xlfn.FLOOR.MATH(((M5+G5)/(O5+P5)-G5/(O5+P5))/2),_xlfn.FLOOR.MATH(((M5+G5)/(O5+P5)-G5/(O5+P5))/2)-1)&amp;";"&amp;
_xlfn.CEILING.MATH((M5+G5)/(O5+P5))&amp;","&amp;_xlfn.CEILING.MATH((G5/(O5+P5)))&amp;","&amp;IF(N5&lt;2,_xlfn.CEILING.MATH(((M5+G5)/(O5+P5)-G5/(O5+P5))/2),_xlfn.CEILING.MATH(((M5+G5)/(O5+P5)-G5/(O5+P5))/2)-1))</f>
        <v>17,11,2</v>
      </c>
      <c r="R5" s="1"/>
    </row>
    <row r="6" spans="1:18" x14ac:dyDescent="0.35">
      <c r="A6" s="4">
        <v>-2</v>
      </c>
      <c r="B6" s="5">
        <f t="shared" si="0"/>
        <v>15</v>
      </c>
      <c r="C6" s="5">
        <f t="shared" si="1"/>
        <v>0</v>
      </c>
      <c r="D6" s="5"/>
      <c r="E6" s="1" t="s">
        <v>28</v>
      </c>
      <c r="F6" s="1">
        <v>17</v>
      </c>
      <c r="G6" s="1">
        <v>9</v>
      </c>
      <c r="H6" s="1">
        <f t="shared" si="3"/>
        <v>68</v>
      </c>
      <c r="I6" s="1">
        <v>18</v>
      </c>
      <c r="J6" s="1">
        <v>11</v>
      </c>
      <c r="K6" s="1">
        <v>7</v>
      </c>
      <c r="L6" s="1">
        <v>4</v>
      </c>
      <c r="M6" s="1">
        <v>8</v>
      </c>
      <c r="N6" s="1">
        <v>2</v>
      </c>
      <c r="O6" s="1">
        <v>1</v>
      </c>
      <c r="P6" s="1">
        <v>0</v>
      </c>
      <c r="Q6" s="1" t="str">
        <f>IF(P6=0,
(M6+G6)/O6&amp;","&amp;(G6/O6)&amp;","&amp;IF(N6&lt;2,_xlfn.FLOOR.MATH(((M6+G6)/O6-G6/O6)/2),_xlfn.FLOOR.MATH(((M6+G6)/O6-G6/O6)/2)-1),
_xlfn.FLOOR.MATH((M6+G6)/(O6+P6))&amp;","&amp;_xlfn.FLOOR.MATH((G6/(O6+P6)))&amp;","&amp;IF(N6&lt;2,_xlfn.FLOOR.MATH(((M6+G6)/(O6+P6)-G6/(O6+P6))/2),_xlfn.FLOOR.MATH(((M6+G6)/(O6+P6)-G6/(O6+P6))/2)-1)&amp;";"&amp;
_xlfn.CEILING.MATH((M6+G6)/(O6+P6))&amp;","&amp;_xlfn.CEILING.MATH((G6/(O6+P6)))&amp;","&amp;IF(N6&lt;2,_xlfn.CEILING.MATH(((M6+G6)/(O6+P6)-G6/(O6+P6))/2),_xlfn.CEILING.MATH(((M6+G6)/(O6+P6)-G6/(O6+P6))/2)-1))</f>
        <v>17,9,3</v>
      </c>
      <c r="R6" s="1"/>
    </row>
    <row r="7" spans="1:18" x14ac:dyDescent="0.35">
      <c r="A7" s="4">
        <v>-1</v>
      </c>
      <c r="B7" s="5">
        <f t="shared" si="0"/>
        <v>17</v>
      </c>
      <c r="C7" s="5">
        <f t="shared" si="1"/>
        <v>0</v>
      </c>
      <c r="D7" s="5"/>
      <c r="E7" s="1" t="s">
        <v>27</v>
      </c>
      <c r="F7" s="1">
        <v>24</v>
      </c>
      <c r="G7" s="1">
        <v>16</v>
      </c>
      <c r="H7" s="1">
        <f t="shared" si="3"/>
        <v>128</v>
      </c>
      <c r="I7" s="1">
        <v>35</v>
      </c>
      <c r="J7" s="1">
        <v>21</v>
      </c>
      <c r="K7" s="1">
        <v>15</v>
      </c>
      <c r="L7" s="1">
        <v>9</v>
      </c>
      <c r="M7" s="1">
        <v>8</v>
      </c>
      <c r="N7" s="1">
        <v>2</v>
      </c>
      <c r="O7" s="1">
        <v>1</v>
      </c>
      <c r="P7" s="1">
        <v>0</v>
      </c>
      <c r="Q7" s="1" t="str">
        <f t="shared" si="4"/>
        <v>24,16,3</v>
      </c>
      <c r="R7" s="1"/>
    </row>
    <row r="8" spans="1:18" x14ac:dyDescent="0.35">
      <c r="A8" s="4">
        <v>-1</v>
      </c>
      <c r="B8" s="5">
        <f t="shared" si="0"/>
        <v>17</v>
      </c>
      <c r="C8" s="5">
        <f t="shared" si="1"/>
        <v>0</v>
      </c>
      <c r="D8" s="5"/>
      <c r="E8" s="1" t="s">
        <v>28</v>
      </c>
      <c r="F8" s="1">
        <v>24</v>
      </c>
      <c r="G8" s="1">
        <v>14</v>
      </c>
      <c r="H8" s="1">
        <f t="shared" si="3"/>
        <v>112</v>
      </c>
      <c r="I8" s="1">
        <v>30</v>
      </c>
      <c r="J8" s="1">
        <v>18</v>
      </c>
      <c r="K8" s="1">
        <v>13</v>
      </c>
      <c r="L8" s="1">
        <v>8</v>
      </c>
      <c r="M8" s="1">
        <v>10</v>
      </c>
      <c r="N8" s="1">
        <v>0</v>
      </c>
      <c r="O8" s="1">
        <v>1</v>
      </c>
      <c r="P8" s="1">
        <v>0</v>
      </c>
      <c r="Q8" s="1" t="str">
        <f t="shared" si="4"/>
        <v>24,14,5</v>
      </c>
      <c r="R8" s="1"/>
    </row>
    <row r="9" spans="1:18" x14ac:dyDescent="0.35">
      <c r="A9" s="4">
        <v>-1</v>
      </c>
      <c r="B9" s="5">
        <f t="shared" si="0"/>
        <v>17</v>
      </c>
      <c r="C9" s="5">
        <f t="shared" si="1"/>
        <v>0</v>
      </c>
      <c r="D9" s="5"/>
      <c r="E9" s="1" t="s">
        <v>46</v>
      </c>
      <c r="F9" s="1">
        <v>24</v>
      </c>
      <c r="G9" s="1">
        <v>10</v>
      </c>
      <c r="H9" s="1">
        <f t="shared" si="3"/>
        <v>80</v>
      </c>
      <c r="I9" s="1">
        <v>21</v>
      </c>
      <c r="J9" s="1">
        <v>13</v>
      </c>
      <c r="K9" s="1">
        <v>9</v>
      </c>
      <c r="L9" s="1">
        <v>5</v>
      </c>
      <c r="M9" s="1">
        <v>14</v>
      </c>
      <c r="N9" s="1">
        <v>0</v>
      </c>
      <c r="O9" s="1">
        <v>1</v>
      </c>
      <c r="P9" s="1">
        <v>0</v>
      </c>
      <c r="Q9" s="1" t="str">
        <f t="shared" si="4"/>
        <v>24,10,7</v>
      </c>
      <c r="R9" s="1"/>
    </row>
    <row r="10" spans="1:18" x14ac:dyDescent="0.35">
      <c r="A10" s="4">
        <v>1</v>
      </c>
      <c r="B10" s="5">
        <f t="shared" si="0"/>
        <v>21</v>
      </c>
      <c r="C10" s="5">
        <f>IF(A10&lt;=1, 0,
IF(AND(A10&gt;1, A10&lt;7), 1,
IF(AND(A10&gt;=7, A10&lt;14), 6,
IF(AND(A10&gt;=14, A10&lt;21), 13,
IF(AND(A10&gt;=21, A10&lt;28), 22,
IF(AND(A10&gt;=28, A10&lt;35), 33,
IF(A10&gt;=35, 46, "")))))))</f>
        <v>0</v>
      </c>
      <c r="D10" s="5"/>
      <c r="E10" s="1" t="s">
        <v>27</v>
      </c>
      <c r="F10" s="1">
        <v>26</v>
      </c>
      <c r="G10" s="1">
        <v>19</v>
      </c>
      <c r="H10" s="1">
        <f>IF(A10&lt;-1,G10*8-4,G10*8)</f>
        <v>152</v>
      </c>
      <c r="I10" s="1">
        <f t="shared" ref="I10:I41" si="5">QUOTIENT(H10-4-IF(A10&lt;=9,10,IF(AND(A10&gt;9,A10&lt;=26),12,IF(AND(A10&gt;26,A10&lt;=40),14))),10)*3+
IF(MOD(H10-4-IF(A10&lt;=9,10,IF(AND(A10&gt;9,A10&lt;=26),12,IF(AND(A10&gt;26,A10&lt;=40),14))),10)&gt;=7,2,IF(MOD(H10-4-IF(A10&lt;=9,10,IF(AND(A10&gt;9,A10&lt;=26),12,IF(AND(A10&gt;26,A10&lt;=40),14))),10)&lt;4,0,1))</f>
        <v>41</v>
      </c>
      <c r="J10" s="1">
        <f t="shared" ref="J10:J41" si="6">QUOTIENT(H10-4-IF(A10&lt;=9,9,IF(AND(A10&gt;9,A10&lt;=26),11,IF(AND(A10&gt;26,A10&lt;=40),13))),11)*2+
IF(MOD(H10-4-IF(A10&lt;=9,9,IF(AND(A10&gt;9,A10&lt;=26),11,IF(AND(A10&gt;26,A10&lt;=40),13))),11)&gt;=6,1,0)</f>
        <v>25</v>
      </c>
      <c r="K10" s="1">
        <f t="shared" ref="K10:K41" si="7">QUOTIENT(H10-4-IF(A10&lt;=9,8,IF(AND(A10&gt;9,A10&lt;=26),16,IF(AND(A10&gt;26,A10&lt;=40),16))),8)</f>
        <v>17</v>
      </c>
      <c r="L10" s="1">
        <f t="shared" ref="L10:L41" si="8">QUOTIENT(H10-4-IF(A10&lt;=9,8,IF(AND(A10&gt;9,A10&lt;=26),10,IF(AND(A10&gt;26,A10&lt;=40),12))),13)</f>
        <v>10</v>
      </c>
      <c r="M10" s="1">
        <v>7</v>
      </c>
      <c r="N10" s="1">
        <v>3</v>
      </c>
      <c r="O10" s="1">
        <v>1</v>
      </c>
      <c r="P10" s="1">
        <v>0</v>
      </c>
      <c r="Q10" s="1" t="str">
        <f t="shared" si="4"/>
        <v>26,19,2</v>
      </c>
      <c r="R10" s="1"/>
    </row>
    <row r="11" spans="1:18" x14ac:dyDescent="0.35">
      <c r="A11" s="4">
        <v>1</v>
      </c>
      <c r="B11" s="5">
        <f t="shared" si="0"/>
        <v>21</v>
      </c>
      <c r="C11" s="5">
        <f t="shared" si="1"/>
        <v>0</v>
      </c>
      <c r="D11" s="5"/>
      <c r="E11" s="1" t="s">
        <v>28</v>
      </c>
      <c r="F11" s="1">
        <v>26</v>
      </c>
      <c r="G11" s="1">
        <v>16</v>
      </c>
      <c r="H11" s="1">
        <f t="shared" ref="H11:H66" si="9">IF(A11&lt;-1,G11*8-4,G11*8)</f>
        <v>128</v>
      </c>
      <c r="I11" s="1">
        <f t="shared" si="5"/>
        <v>34</v>
      </c>
      <c r="J11" s="1">
        <f t="shared" si="6"/>
        <v>20</v>
      </c>
      <c r="K11" s="1">
        <f t="shared" si="7"/>
        <v>14</v>
      </c>
      <c r="L11" s="1">
        <f t="shared" si="8"/>
        <v>8</v>
      </c>
      <c r="M11" s="1">
        <v>10</v>
      </c>
      <c r="N11" s="1">
        <v>2</v>
      </c>
      <c r="O11" s="1">
        <v>1</v>
      </c>
      <c r="P11" s="1">
        <v>0</v>
      </c>
      <c r="Q11" s="1" t="str">
        <f t="shared" si="4"/>
        <v>26,16,4</v>
      </c>
      <c r="R11" s="1"/>
    </row>
    <row r="12" spans="1:18" x14ac:dyDescent="0.35">
      <c r="A12" s="4">
        <v>1</v>
      </c>
      <c r="B12" s="5">
        <f t="shared" si="0"/>
        <v>21</v>
      </c>
      <c r="C12" s="5">
        <f t="shared" si="1"/>
        <v>0</v>
      </c>
      <c r="D12" s="5"/>
      <c r="E12" s="1" t="s">
        <v>46</v>
      </c>
      <c r="F12" s="1">
        <v>26</v>
      </c>
      <c r="G12" s="1">
        <v>13</v>
      </c>
      <c r="H12" s="1">
        <f t="shared" si="9"/>
        <v>104</v>
      </c>
      <c r="I12" s="1">
        <f t="shared" si="5"/>
        <v>27</v>
      </c>
      <c r="J12" s="1">
        <f t="shared" si="6"/>
        <v>16</v>
      </c>
      <c r="K12" s="1">
        <f t="shared" si="7"/>
        <v>11</v>
      </c>
      <c r="L12" s="1">
        <f t="shared" si="8"/>
        <v>7</v>
      </c>
      <c r="M12" s="1">
        <v>13</v>
      </c>
      <c r="N12" s="1">
        <v>1</v>
      </c>
      <c r="O12" s="1">
        <v>1</v>
      </c>
      <c r="P12" s="1">
        <v>0</v>
      </c>
      <c r="Q12" s="1" t="str">
        <f t="shared" si="4"/>
        <v>26,13,6</v>
      </c>
      <c r="R12" s="1"/>
    </row>
    <row r="13" spans="1:18" x14ac:dyDescent="0.35">
      <c r="A13" s="4">
        <v>1</v>
      </c>
      <c r="B13" s="5">
        <f t="shared" si="0"/>
        <v>21</v>
      </c>
      <c r="C13" s="5">
        <f t="shared" si="1"/>
        <v>0</v>
      </c>
      <c r="D13" s="5"/>
      <c r="E13" s="1" t="s">
        <v>23</v>
      </c>
      <c r="F13" s="1">
        <v>26</v>
      </c>
      <c r="G13" s="1">
        <v>9</v>
      </c>
      <c r="H13" s="1">
        <f t="shared" si="9"/>
        <v>72</v>
      </c>
      <c r="I13" s="1">
        <f t="shared" si="5"/>
        <v>17</v>
      </c>
      <c r="J13" s="1">
        <f t="shared" si="6"/>
        <v>10</v>
      </c>
      <c r="K13" s="1">
        <f t="shared" si="7"/>
        <v>7</v>
      </c>
      <c r="L13" s="1">
        <f t="shared" si="8"/>
        <v>4</v>
      </c>
      <c r="M13" s="1">
        <v>17</v>
      </c>
      <c r="N13" s="1">
        <v>1</v>
      </c>
      <c r="O13" s="1">
        <v>1</v>
      </c>
      <c r="P13" s="1">
        <v>0</v>
      </c>
      <c r="Q13" s="1" t="str">
        <f t="shared" si="4"/>
        <v>26,9,8</v>
      </c>
      <c r="R13" s="1"/>
    </row>
    <row r="14" spans="1:18" x14ac:dyDescent="0.35">
      <c r="A14" s="4">
        <v>2</v>
      </c>
      <c r="B14" s="5">
        <f t="shared" si="0"/>
        <v>25</v>
      </c>
      <c r="C14" s="5">
        <f t="shared" si="1"/>
        <v>1</v>
      </c>
      <c r="D14" s="7" t="s">
        <v>3</v>
      </c>
      <c r="E14" s="1" t="s">
        <v>27</v>
      </c>
      <c r="F14" s="1">
        <v>44</v>
      </c>
      <c r="G14" s="1">
        <v>34</v>
      </c>
      <c r="H14" s="1">
        <f t="shared" si="9"/>
        <v>272</v>
      </c>
      <c r="I14" s="1">
        <f t="shared" si="5"/>
        <v>77</v>
      </c>
      <c r="J14" s="1">
        <f t="shared" si="6"/>
        <v>47</v>
      </c>
      <c r="K14" s="1">
        <f t="shared" si="7"/>
        <v>32</v>
      </c>
      <c r="L14" s="1">
        <f t="shared" si="8"/>
        <v>20</v>
      </c>
      <c r="M14" s="1">
        <v>10</v>
      </c>
      <c r="N14" s="1">
        <v>2</v>
      </c>
      <c r="O14" s="1">
        <v>1</v>
      </c>
      <c r="P14" s="1">
        <v>0</v>
      </c>
      <c r="Q14" s="1" t="str">
        <f t="shared" si="4"/>
        <v>44,34,4</v>
      </c>
      <c r="R14" s="1"/>
    </row>
    <row r="15" spans="1:18" x14ac:dyDescent="0.35">
      <c r="A15" s="4">
        <v>2</v>
      </c>
      <c r="B15" s="5">
        <f t="shared" si="0"/>
        <v>25</v>
      </c>
      <c r="C15" s="5">
        <f t="shared" si="1"/>
        <v>1</v>
      </c>
      <c r="D15" s="7" t="s">
        <v>3</v>
      </c>
      <c r="E15" s="1" t="s">
        <v>28</v>
      </c>
      <c r="F15" s="1">
        <v>44</v>
      </c>
      <c r="G15" s="1">
        <v>28</v>
      </c>
      <c r="H15" s="1">
        <f t="shared" si="9"/>
        <v>224</v>
      </c>
      <c r="I15" s="1">
        <f t="shared" si="5"/>
        <v>63</v>
      </c>
      <c r="J15" s="1">
        <f t="shared" si="6"/>
        <v>38</v>
      </c>
      <c r="K15" s="1">
        <f t="shared" si="7"/>
        <v>26</v>
      </c>
      <c r="L15" s="1">
        <f t="shared" si="8"/>
        <v>16</v>
      </c>
      <c r="M15" s="1">
        <v>16</v>
      </c>
      <c r="N15" s="1">
        <v>0</v>
      </c>
      <c r="O15" s="1">
        <v>1</v>
      </c>
      <c r="P15" s="1">
        <v>0</v>
      </c>
      <c r="Q15" s="1" t="str">
        <f t="shared" si="4"/>
        <v>44,28,8</v>
      </c>
      <c r="R15" s="1"/>
    </row>
    <row r="16" spans="1:18" x14ac:dyDescent="0.35">
      <c r="A16" s="4">
        <v>2</v>
      </c>
      <c r="B16" s="5">
        <f t="shared" si="0"/>
        <v>25</v>
      </c>
      <c r="C16" s="5">
        <f t="shared" si="1"/>
        <v>1</v>
      </c>
      <c r="D16" s="7" t="s">
        <v>3</v>
      </c>
      <c r="E16" s="1" t="s">
        <v>46</v>
      </c>
      <c r="F16" s="1">
        <v>44</v>
      </c>
      <c r="G16" s="1">
        <v>22</v>
      </c>
      <c r="H16" s="1">
        <f t="shared" si="9"/>
        <v>176</v>
      </c>
      <c r="I16" s="1">
        <f t="shared" si="5"/>
        <v>48</v>
      </c>
      <c r="J16" s="1">
        <f t="shared" si="6"/>
        <v>29</v>
      </c>
      <c r="K16" s="1">
        <f t="shared" si="7"/>
        <v>20</v>
      </c>
      <c r="L16" s="1">
        <f t="shared" si="8"/>
        <v>12</v>
      </c>
      <c r="M16" s="1">
        <v>22</v>
      </c>
      <c r="N16" s="1">
        <v>0</v>
      </c>
      <c r="O16" s="1">
        <v>1</v>
      </c>
      <c r="P16" s="1">
        <v>0</v>
      </c>
      <c r="Q16" s="1" t="str">
        <f t="shared" si="4"/>
        <v>44,22,11</v>
      </c>
      <c r="R16" s="1"/>
    </row>
    <row r="17" spans="1:18" x14ac:dyDescent="0.35">
      <c r="A17" s="4">
        <v>2</v>
      </c>
      <c r="B17" s="5">
        <f t="shared" si="0"/>
        <v>25</v>
      </c>
      <c r="C17" s="5">
        <f t="shared" si="1"/>
        <v>1</v>
      </c>
      <c r="D17" s="7" t="s">
        <v>3</v>
      </c>
      <c r="E17" s="1" t="s">
        <v>23</v>
      </c>
      <c r="F17" s="1">
        <v>44</v>
      </c>
      <c r="G17" s="1">
        <v>16</v>
      </c>
      <c r="H17" s="1">
        <f t="shared" si="9"/>
        <v>128</v>
      </c>
      <c r="I17" s="1">
        <f t="shared" si="5"/>
        <v>34</v>
      </c>
      <c r="J17" s="1">
        <f t="shared" si="6"/>
        <v>20</v>
      </c>
      <c r="K17" s="1">
        <f t="shared" si="7"/>
        <v>14</v>
      </c>
      <c r="L17" s="1">
        <f t="shared" si="8"/>
        <v>8</v>
      </c>
      <c r="M17" s="1">
        <v>28</v>
      </c>
      <c r="N17" s="1">
        <v>0</v>
      </c>
      <c r="O17" s="1">
        <v>1</v>
      </c>
      <c r="P17" s="1">
        <v>0</v>
      </c>
      <c r="Q17" s="1" t="str">
        <f t="shared" si="4"/>
        <v>44,16,14</v>
      </c>
      <c r="R17" s="1"/>
    </row>
    <row r="18" spans="1:18" x14ac:dyDescent="0.35">
      <c r="A18" s="4">
        <v>3</v>
      </c>
      <c r="B18" s="5">
        <f t="shared" si="0"/>
        <v>29</v>
      </c>
      <c r="C18" s="5">
        <f t="shared" si="1"/>
        <v>1</v>
      </c>
      <c r="D18" s="7" t="s">
        <v>4</v>
      </c>
      <c r="E18" s="1" t="s">
        <v>27</v>
      </c>
      <c r="F18" s="1">
        <v>70</v>
      </c>
      <c r="G18" s="1">
        <v>55</v>
      </c>
      <c r="H18" s="1">
        <f t="shared" si="9"/>
        <v>440</v>
      </c>
      <c r="I18" s="1">
        <f t="shared" si="5"/>
        <v>127</v>
      </c>
      <c r="J18" s="1">
        <f t="shared" si="6"/>
        <v>77</v>
      </c>
      <c r="K18" s="1">
        <f t="shared" si="7"/>
        <v>53</v>
      </c>
      <c r="L18" s="1">
        <f t="shared" si="8"/>
        <v>32</v>
      </c>
      <c r="M18" s="1">
        <v>15</v>
      </c>
      <c r="N18" s="1">
        <v>1</v>
      </c>
      <c r="O18" s="1">
        <v>1</v>
      </c>
      <c r="P18" s="1">
        <v>0</v>
      </c>
      <c r="Q18" s="1" t="str">
        <f t="shared" si="4"/>
        <v>70,55,7</v>
      </c>
      <c r="R18" s="1"/>
    </row>
    <row r="19" spans="1:18" x14ac:dyDescent="0.35">
      <c r="A19" s="4">
        <v>3</v>
      </c>
      <c r="B19" s="5">
        <f t="shared" si="0"/>
        <v>29</v>
      </c>
      <c r="C19" s="5">
        <f t="shared" si="1"/>
        <v>1</v>
      </c>
      <c r="D19" s="7" t="s">
        <v>4</v>
      </c>
      <c r="E19" s="1" t="s">
        <v>28</v>
      </c>
      <c r="F19" s="1">
        <v>70</v>
      </c>
      <c r="G19" s="1">
        <v>44</v>
      </c>
      <c r="H19" s="1">
        <f t="shared" si="9"/>
        <v>352</v>
      </c>
      <c r="I19" s="1">
        <f t="shared" si="5"/>
        <v>101</v>
      </c>
      <c r="J19" s="1">
        <f t="shared" si="6"/>
        <v>61</v>
      </c>
      <c r="K19" s="1">
        <f t="shared" si="7"/>
        <v>42</v>
      </c>
      <c r="L19" s="1">
        <f t="shared" si="8"/>
        <v>26</v>
      </c>
      <c r="M19" s="1">
        <v>26</v>
      </c>
      <c r="N19" s="1">
        <v>0</v>
      </c>
      <c r="O19" s="1">
        <v>1</v>
      </c>
      <c r="P19" s="1">
        <v>0</v>
      </c>
      <c r="Q19" s="1" t="str">
        <f t="shared" si="4"/>
        <v>70,44,13</v>
      </c>
      <c r="R19" s="1"/>
    </row>
    <row r="20" spans="1:18" x14ac:dyDescent="0.35">
      <c r="A20" s="4">
        <v>3</v>
      </c>
      <c r="B20" s="5">
        <f t="shared" si="0"/>
        <v>29</v>
      </c>
      <c r="C20" s="5">
        <f t="shared" si="1"/>
        <v>1</v>
      </c>
      <c r="D20" s="7" t="s">
        <v>4</v>
      </c>
      <c r="E20" s="1" t="s">
        <v>46</v>
      </c>
      <c r="F20" s="1">
        <v>70</v>
      </c>
      <c r="G20" s="1">
        <v>34</v>
      </c>
      <c r="H20" s="1">
        <f t="shared" si="9"/>
        <v>272</v>
      </c>
      <c r="I20" s="1">
        <f t="shared" si="5"/>
        <v>77</v>
      </c>
      <c r="J20" s="1">
        <f t="shared" si="6"/>
        <v>47</v>
      </c>
      <c r="K20" s="1">
        <f t="shared" si="7"/>
        <v>32</v>
      </c>
      <c r="L20" s="1">
        <f t="shared" si="8"/>
        <v>20</v>
      </c>
      <c r="M20" s="1">
        <v>36</v>
      </c>
      <c r="N20" s="1">
        <v>0</v>
      </c>
      <c r="O20" s="1">
        <v>2</v>
      </c>
      <c r="P20" s="1">
        <v>0</v>
      </c>
      <c r="Q20" s="1" t="str">
        <f t="shared" si="4"/>
        <v>35,17,9</v>
      </c>
      <c r="R20" s="1"/>
    </row>
    <row r="21" spans="1:18" x14ac:dyDescent="0.35">
      <c r="A21" s="4">
        <v>3</v>
      </c>
      <c r="B21" s="5">
        <f t="shared" si="0"/>
        <v>29</v>
      </c>
      <c r="C21" s="5">
        <f t="shared" si="1"/>
        <v>1</v>
      </c>
      <c r="D21" s="7" t="s">
        <v>4</v>
      </c>
      <c r="E21" s="1" t="s">
        <v>23</v>
      </c>
      <c r="F21" s="1">
        <v>70</v>
      </c>
      <c r="G21" s="1">
        <v>26</v>
      </c>
      <c r="H21" s="1">
        <f t="shared" si="9"/>
        <v>208</v>
      </c>
      <c r="I21" s="1">
        <f t="shared" si="5"/>
        <v>58</v>
      </c>
      <c r="J21" s="1">
        <f t="shared" si="6"/>
        <v>35</v>
      </c>
      <c r="K21" s="1">
        <f t="shared" si="7"/>
        <v>24</v>
      </c>
      <c r="L21" s="1">
        <f t="shared" si="8"/>
        <v>15</v>
      </c>
      <c r="M21" s="1">
        <v>44</v>
      </c>
      <c r="N21" s="1">
        <v>0</v>
      </c>
      <c r="O21" s="1">
        <v>2</v>
      </c>
      <c r="P21" s="1">
        <v>0</v>
      </c>
      <c r="Q21" s="1" t="str">
        <f t="shared" si="4"/>
        <v>35,13,11</v>
      </c>
      <c r="R21" s="1"/>
    </row>
    <row r="22" spans="1:18" x14ac:dyDescent="0.35">
      <c r="A22" s="4">
        <v>4</v>
      </c>
      <c r="B22" s="5">
        <f t="shared" si="0"/>
        <v>33</v>
      </c>
      <c r="C22" s="5">
        <f t="shared" si="1"/>
        <v>1</v>
      </c>
      <c r="D22" s="7" t="s">
        <v>5</v>
      </c>
      <c r="E22" s="1" t="s">
        <v>27</v>
      </c>
      <c r="F22" s="1">
        <v>100</v>
      </c>
      <c r="G22" s="1">
        <v>80</v>
      </c>
      <c r="H22" s="1">
        <f t="shared" si="9"/>
        <v>640</v>
      </c>
      <c r="I22" s="1">
        <f t="shared" si="5"/>
        <v>187</v>
      </c>
      <c r="J22" s="1">
        <f t="shared" si="6"/>
        <v>114</v>
      </c>
      <c r="K22" s="1">
        <f t="shared" si="7"/>
        <v>78</v>
      </c>
      <c r="L22" s="1">
        <f t="shared" si="8"/>
        <v>48</v>
      </c>
      <c r="M22" s="1">
        <v>20</v>
      </c>
      <c r="N22" s="1">
        <v>0</v>
      </c>
      <c r="O22" s="1">
        <v>1</v>
      </c>
      <c r="P22" s="1">
        <v>0</v>
      </c>
      <c r="Q22" s="1" t="str">
        <f t="shared" si="4"/>
        <v>100,80,10</v>
      </c>
      <c r="R22" s="1"/>
    </row>
    <row r="23" spans="1:18" x14ac:dyDescent="0.35">
      <c r="A23" s="4">
        <v>4</v>
      </c>
      <c r="B23" s="5">
        <f t="shared" si="0"/>
        <v>33</v>
      </c>
      <c r="C23" s="5">
        <f t="shared" si="1"/>
        <v>1</v>
      </c>
      <c r="D23" s="7" t="s">
        <v>5</v>
      </c>
      <c r="E23" s="1" t="s">
        <v>28</v>
      </c>
      <c r="F23" s="1">
        <v>100</v>
      </c>
      <c r="G23" s="1">
        <v>64</v>
      </c>
      <c r="H23" s="1">
        <f t="shared" si="9"/>
        <v>512</v>
      </c>
      <c r="I23" s="1">
        <f t="shared" si="5"/>
        <v>149</v>
      </c>
      <c r="J23" s="1">
        <f t="shared" si="6"/>
        <v>90</v>
      </c>
      <c r="K23" s="1">
        <f t="shared" si="7"/>
        <v>62</v>
      </c>
      <c r="L23" s="1">
        <f t="shared" si="8"/>
        <v>38</v>
      </c>
      <c r="M23" s="1">
        <v>36</v>
      </c>
      <c r="N23" s="1">
        <v>0</v>
      </c>
      <c r="O23" s="1">
        <v>2</v>
      </c>
      <c r="P23" s="1">
        <v>0</v>
      </c>
      <c r="Q23" s="1" t="str">
        <f t="shared" si="4"/>
        <v>50,32,9</v>
      </c>
      <c r="R23" s="1"/>
    </row>
    <row r="24" spans="1:18" x14ac:dyDescent="0.35">
      <c r="A24" s="4">
        <v>4</v>
      </c>
      <c r="B24" s="5">
        <f t="shared" si="0"/>
        <v>33</v>
      </c>
      <c r="C24" s="5">
        <f t="shared" si="1"/>
        <v>1</v>
      </c>
      <c r="D24" s="7" t="s">
        <v>5</v>
      </c>
      <c r="E24" s="1" t="s">
        <v>46</v>
      </c>
      <c r="F24" s="1">
        <v>100</v>
      </c>
      <c r="G24" s="1">
        <v>48</v>
      </c>
      <c r="H24" s="1">
        <f t="shared" si="9"/>
        <v>384</v>
      </c>
      <c r="I24" s="1">
        <f t="shared" si="5"/>
        <v>111</v>
      </c>
      <c r="J24" s="1">
        <f t="shared" si="6"/>
        <v>67</v>
      </c>
      <c r="K24" s="1">
        <f t="shared" si="7"/>
        <v>46</v>
      </c>
      <c r="L24" s="1">
        <f t="shared" si="8"/>
        <v>28</v>
      </c>
      <c r="M24" s="1">
        <v>52</v>
      </c>
      <c r="N24" s="1">
        <v>0</v>
      </c>
      <c r="O24" s="1">
        <v>2</v>
      </c>
      <c r="P24" s="1">
        <v>0</v>
      </c>
      <c r="Q24" s="1" t="str">
        <f t="shared" si="4"/>
        <v>50,24,13</v>
      </c>
      <c r="R24" s="1"/>
    </row>
    <row r="25" spans="1:18" x14ac:dyDescent="0.35">
      <c r="A25" s="4">
        <v>4</v>
      </c>
      <c r="B25" s="5">
        <f t="shared" si="0"/>
        <v>33</v>
      </c>
      <c r="C25" s="5">
        <f t="shared" si="1"/>
        <v>1</v>
      </c>
      <c r="D25" s="7" t="s">
        <v>5</v>
      </c>
      <c r="E25" s="1" t="s">
        <v>23</v>
      </c>
      <c r="F25" s="1">
        <v>100</v>
      </c>
      <c r="G25" s="1">
        <v>36</v>
      </c>
      <c r="H25" s="1">
        <f t="shared" si="9"/>
        <v>288</v>
      </c>
      <c r="I25" s="1">
        <f t="shared" si="5"/>
        <v>82</v>
      </c>
      <c r="J25" s="1">
        <f t="shared" si="6"/>
        <v>50</v>
      </c>
      <c r="K25" s="1">
        <f t="shared" si="7"/>
        <v>34</v>
      </c>
      <c r="L25" s="1">
        <f t="shared" si="8"/>
        <v>21</v>
      </c>
      <c r="M25" s="1">
        <v>64</v>
      </c>
      <c r="N25" s="1">
        <v>0</v>
      </c>
      <c r="O25" s="1">
        <v>4</v>
      </c>
      <c r="P25" s="1">
        <v>0</v>
      </c>
      <c r="Q25" s="1" t="str">
        <f t="shared" si="4"/>
        <v>25,9,8</v>
      </c>
      <c r="R25" s="1"/>
    </row>
    <row r="26" spans="1:18" x14ac:dyDescent="0.35">
      <c r="A26" s="4">
        <v>5</v>
      </c>
      <c r="B26" s="5">
        <f t="shared" si="0"/>
        <v>37</v>
      </c>
      <c r="C26" s="5">
        <f t="shared" si="1"/>
        <v>1</v>
      </c>
      <c r="D26" s="7" t="s">
        <v>6</v>
      </c>
      <c r="E26" s="1" t="s">
        <v>27</v>
      </c>
      <c r="F26" s="1">
        <v>134</v>
      </c>
      <c r="G26" s="1">
        <v>108</v>
      </c>
      <c r="H26" s="1">
        <f t="shared" si="9"/>
        <v>864</v>
      </c>
      <c r="I26" s="1">
        <f t="shared" si="5"/>
        <v>255</v>
      </c>
      <c r="J26" s="1">
        <f t="shared" si="6"/>
        <v>154</v>
      </c>
      <c r="K26" s="1">
        <f t="shared" si="7"/>
        <v>106</v>
      </c>
      <c r="L26" s="1">
        <f t="shared" si="8"/>
        <v>65</v>
      </c>
      <c r="M26" s="1">
        <v>26</v>
      </c>
      <c r="N26" s="1">
        <v>0</v>
      </c>
      <c r="O26" s="1">
        <v>1</v>
      </c>
      <c r="P26" s="1">
        <v>0</v>
      </c>
      <c r="Q26" s="1" t="str">
        <f t="shared" si="4"/>
        <v>134,108,13</v>
      </c>
      <c r="R26" s="1"/>
    </row>
    <row r="27" spans="1:18" x14ac:dyDescent="0.35">
      <c r="A27" s="4">
        <v>5</v>
      </c>
      <c r="B27" s="5">
        <f t="shared" si="0"/>
        <v>37</v>
      </c>
      <c r="C27" s="5">
        <f t="shared" si="1"/>
        <v>1</v>
      </c>
      <c r="D27" s="7" t="s">
        <v>6</v>
      </c>
      <c r="E27" s="1" t="s">
        <v>28</v>
      </c>
      <c r="F27" s="1">
        <v>134</v>
      </c>
      <c r="G27" s="1">
        <v>86</v>
      </c>
      <c r="H27" s="1">
        <f t="shared" si="9"/>
        <v>688</v>
      </c>
      <c r="I27" s="1">
        <f t="shared" si="5"/>
        <v>202</v>
      </c>
      <c r="J27" s="1">
        <f t="shared" si="6"/>
        <v>122</v>
      </c>
      <c r="K27" s="1">
        <f t="shared" si="7"/>
        <v>84</v>
      </c>
      <c r="L27" s="1">
        <f t="shared" si="8"/>
        <v>52</v>
      </c>
      <c r="M27" s="1">
        <v>48</v>
      </c>
      <c r="N27" s="1">
        <v>0</v>
      </c>
      <c r="O27" s="1">
        <v>2</v>
      </c>
      <c r="P27" s="1">
        <v>0</v>
      </c>
      <c r="Q27" s="1" t="str">
        <f t="shared" si="4"/>
        <v>67,43,12</v>
      </c>
      <c r="R27" s="1"/>
    </row>
    <row r="28" spans="1:18" x14ac:dyDescent="0.35">
      <c r="A28" s="4">
        <v>5</v>
      </c>
      <c r="B28" s="5">
        <f t="shared" si="0"/>
        <v>37</v>
      </c>
      <c r="C28" s="5">
        <f t="shared" si="1"/>
        <v>1</v>
      </c>
      <c r="D28" s="7" t="s">
        <v>6</v>
      </c>
      <c r="E28" s="1" t="s">
        <v>46</v>
      </c>
      <c r="F28" s="1">
        <v>134</v>
      </c>
      <c r="G28" s="1">
        <v>62</v>
      </c>
      <c r="H28" s="1">
        <f t="shared" si="9"/>
        <v>496</v>
      </c>
      <c r="I28" s="1">
        <f t="shared" si="5"/>
        <v>144</v>
      </c>
      <c r="J28" s="1">
        <f t="shared" si="6"/>
        <v>87</v>
      </c>
      <c r="K28" s="1">
        <f t="shared" si="7"/>
        <v>60</v>
      </c>
      <c r="L28" s="1">
        <f t="shared" si="8"/>
        <v>37</v>
      </c>
      <c r="M28" s="1">
        <v>72</v>
      </c>
      <c r="N28" s="1">
        <v>0</v>
      </c>
      <c r="O28" s="1">
        <v>2</v>
      </c>
      <c r="P28" s="1">
        <v>2</v>
      </c>
      <c r="Q28" s="1" t="str">
        <f t="shared" si="4"/>
        <v>33,15,9;34,16,9</v>
      </c>
      <c r="R28" s="1"/>
    </row>
    <row r="29" spans="1:18" x14ac:dyDescent="0.35">
      <c r="A29" s="4">
        <v>5</v>
      </c>
      <c r="B29" s="5">
        <f t="shared" si="0"/>
        <v>37</v>
      </c>
      <c r="C29" s="5">
        <f t="shared" si="1"/>
        <v>1</v>
      </c>
      <c r="D29" s="7" t="s">
        <v>6</v>
      </c>
      <c r="E29" s="1" t="s">
        <v>23</v>
      </c>
      <c r="F29" s="1">
        <v>134</v>
      </c>
      <c r="G29" s="1">
        <v>46</v>
      </c>
      <c r="H29" s="1">
        <f t="shared" si="9"/>
        <v>368</v>
      </c>
      <c r="I29" s="1">
        <f t="shared" si="5"/>
        <v>106</v>
      </c>
      <c r="J29" s="1">
        <f t="shared" si="6"/>
        <v>64</v>
      </c>
      <c r="K29" s="1">
        <f t="shared" si="7"/>
        <v>44</v>
      </c>
      <c r="L29" s="1">
        <f t="shared" si="8"/>
        <v>27</v>
      </c>
      <c r="M29" s="1">
        <v>88</v>
      </c>
      <c r="N29" s="1">
        <v>0</v>
      </c>
      <c r="O29" s="1">
        <v>2</v>
      </c>
      <c r="P29" s="1">
        <v>2</v>
      </c>
      <c r="Q29" s="1" t="str">
        <f t="shared" si="4"/>
        <v>33,11,11;34,12,11</v>
      </c>
      <c r="R29" s="1"/>
    </row>
    <row r="30" spans="1:18" x14ac:dyDescent="0.35">
      <c r="A30" s="4">
        <v>6</v>
      </c>
      <c r="B30" s="5">
        <f t="shared" si="0"/>
        <v>41</v>
      </c>
      <c r="C30" s="5">
        <f t="shared" si="1"/>
        <v>1</v>
      </c>
      <c r="D30" s="7" t="s">
        <v>7</v>
      </c>
      <c r="E30" s="1" t="s">
        <v>27</v>
      </c>
      <c r="F30" s="1">
        <v>172</v>
      </c>
      <c r="G30" s="1">
        <v>126</v>
      </c>
      <c r="H30" s="1">
        <f t="shared" si="9"/>
        <v>1008</v>
      </c>
      <c r="I30" s="1">
        <f t="shared" si="5"/>
        <v>298</v>
      </c>
      <c r="J30" s="1">
        <f t="shared" si="6"/>
        <v>180</v>
      </c>
      <c r="K30" s="1">
        <f t="shared" si="7"/>
        <v>124</v>
      </c>
      <c r="L30" s="1">
        <f t="shared" si="8"/>
        <v>76</v>
      </c>
      <c r="M30" s="1">
        <v>36</v>
      </c>
      <c r="N30" s="1">
        <v>0</v>
      </c>
      <c r="O30" s="1">
        <v>2</v>
      </c>
      <c r="P30" s="1">
        <v>0</v>
      </c>
      <c r="Q30" s="1" t="str">
        <f t="shared" si="4"/>
        <v>81,63,9</v>
      </c>
      <c r="R30" s="1"/>
    </row>
    <row r="31" spans="1:18" x14ac:dyDescent="0.35">
      <c r="A31" s="4">
        <v>6</v>
      </c>
      <c r="B31" s="5">
        <f t="shared" si="0"/>
        <v>41</v>
      </c>
      <c r="C31" s="5">
        <f t="shared" si="1"/>
        <v>1</v>
      </c>
      <c r="D31" s="7" t="s">
        <v>7</v>
      </c>
      <c r="E31" s="1" t="s">
        <v>28</v>
      </c>
      <c r="F31" s="1">
        <v>172</v>
      </c>
      <c r="G31" s="1">
        <v>108</v>
      </c>
      <c r="H31" s="1">
        <f t="shared" si="9"/>
        <v>864</v>
      </c>
      <c r="I31" s="1">
        <f t="shared" si="5"/>
        <v>255</v>
      </c>
      <c r="J31" s="1">
        <f t="shared" si="6"/>
        <v>154</v>
      </c>
      <c r="K31" s="1">
        <f t="shared" si="7"/>
        <v>106</v>
      </c>
      <c r="L31" s="1">
        <f t="shared" si="8"/>
        <v>65</v>
      </c>
      <c r="M31" s="1">
        <v>64</v>
      </c>
      <c r="N31" s="1">
        <v>0</v>
      </c>
      <c r="O31" s="1">
        <v>4</v>
      </c>
      <c r="P31" s="1">
        <v>0</v>
      </c>
      <c r="Q31" s="1" t="str">
        <f t="shared" si="4"/>
        <v>43,27,8</v>
      </c>
      <c r="R31" s="1"/>
    </row>
    <row r="32" spans="1:18" x14ac:dyDescent="0.35">
      <c r="A32" s="4">
        <v>6</v>
      </c>
      <c r="B32" s="5">
        <f t="shared" si="0"/>
        <v>41</v>
      </c>
      <c r="C32" s="5">
        <f t="shared" si="1"/>
        <v>1</v>
      </c>
      <c r="D32" s="7" t="s">
        <v>7</v>
      </c>
      <c r="E32" s="1" t="s">
        <v>46</v>
      </c>
      <c r="F32" s="1">
        <v>172</v>
      </c>
      <c r="G32" s="1">
        <v>76</v>
      </c>
      <c r="H32" s="1">
        <f t="shared" si="9"/>
        <v>608</v>
      </c>
      <c r="I32" s="1">
        <f t="shared" si="5"/>
        <v>178</v>
      </c>
      <c r="J32" s="1">
        <f t="shared" si="6"/>
        <v>108</v>
      </c>
      <c r="K32" s="1">
        <f t="shared" si="7"/>
        <v>74</v>
      </c>
      <c r="L32" s="1">
        <f t="shared" si="8"/>
        <v>45</v>
      </c>
      <c r="M32" s="1">
        <v>96</v>
      </c>
      <c r="N32" s="1">
        <v>0</v>
      </c>
      <c r="O32" s="1">
        <v>4</v>
      </c>
      <c r="P32" s="1">
        <v>0</v>
      </c>
      <c r="Q32" s="1" t="str">
        <f t="shared" si="4"/>
        <v>43,19,12</v>
      </c>
      <c r="R32" s="1"/>
    </row>
    <row r="33" spans="1:18" x14ac:dyDescent="0.35">
      <c r="A33" s="4">
        <v>6</v>
      </c>
      <c r="B33" s="5">
        <f t="shared" si="0"/>
        <v>41</v>
      </c>
      <c r="C33" s="5">
        <f t="shared" si="1"/>
        <v>1</v>
      </c>
      <c r="D33" s="7" t="s">
        <v>7</v>
      </c>
      <c r="E33" s="1" t="s">
        <v>23</v>
      </c>
      <c r="F33" s="1">
        <v>172</v>
      </c>
      <c r="G33" s="1">
        <v>60</v>
      </c>
      <c r="H33" s="1">
        <f t="shared" si="9"/>
        <v>480</v>
      </c>
      <c r="I33" s="1">
        <f t="shared" si="5"/>
        <v>139</v>
      </c>
      <c r="J33" s="1">
        <f t="shared" si="6"/>
        <v>84</v>
      </c>
      <c r="K33" s="1">
        <f t="shared" si="7"/>
        <v>58</v>
      </c>
      <c r="L33" s="1">
        <f t="shared" si="8"/>
        <v>36</v>
      </c>
      <c r="M33" s="1">
        <v>112</v>
      </c>
      <c r="N33" s="1">
        <v>0</v>
      </c>
      <c r="O33" s="1">
        <v>4</v>
      </c>
      <c r="P33" s="1">
        <v>0</v>
      </c>
      <c r="Q33" s="1" t="str">
        <f t="shared" si="4"/>
        <v>43,15,14</v>
      </c>
      <c r="R33" s="1"/>
    </row>
    <row r="34" spans="1:18" x14ac:dyDescent="0.35">
      <c r="A34" s="4">
        <v>7</v>
      </c>
      <c r="B34" s="5">
        <f t="shared" si="0"/>
        <v>45</v>
      </c>
      <c r="C34" s="5">
        <f t="shared" si="1"/>
        <v>6</v>
      </c>
      <c r="D34" s="7" t="s">
        <v>8</v>
      </c>
      <c r="E34" s="1" t="s">
        <v>27</v>
      </c>
      <c r="F34" s="1">
        <v>196</v>
      </c>
      <c r="G34" s="1">
        <v>156</v>
      </c>
      <c r="H34" s="1">
        <f t="shared" si="9"/>
        <v>1248</v>
      </c>
      <c r="I34" s="1">
        <f t="shared" si="5"/>
        <v>370</v>
      </c>
      <c r="J34" s="1">
        <f t="shared" si="6"/>
        <v>224</v>
      </c>
      <c r="K34" s="1">
        <f t="shared" si="7"/>
        <v>154</v>
      </c>
      <c r="L34" s="1">
        <f t="shared" si="8"/>
        <v>95</v>
      </c>
      <c r="M34" s="1">
        <v>40</v>
      </c>
      <c r="N34" s="1">
        <v>0</v>
      </c>
      <c r="O34" s="1">
        <v>2</v>
      </c>
      <c r="P34" s="1">
        <v>0</v>
      </c>
      <c r="Q34" s="1" t="str">
        <f t="shared" si="4"/>
        <v>98,78,10</v>
      </c>
    </row>
    <row r="35" spans="1:18" x14ac:dyDescent="0.35">
      <c r="A35" s="4">
        <v>7</v>
      </c>
      <c r="B35" s="5">
        <f t="shared" si="0"/>
        <v>45</v>
      </c>
      <c r="C35" s="5">
        <f t="shared" si="1"/>
        <v>6</v>
      </c>
      <c r="D35" s="7" t="s">
        <v>8</v>
      </c>
      <c r="E35" s="1" t="s">
        <v>28</v>
      </c>
      <c r="F35" s="1">
        <v>196</v>
      </c>
      <c r="G35" s="1">
        <v>124</v>
      </c>
      <c r="H35" s="1">
        <f t="shared" si="9"/>
        <v>992</v>
      </c>
      <c r="I35" s="1">
        <f t="shared" si="5"/>
        <v>293</v>
      </c>
      <c r="J35" s="1">
        <f t="shared" si="6"/>
        <v>178</v>
      </c>
      <c r="K35" s="1">
        <f t="shared" si="7"/>
        <v>122</v>
      </c>
      <c r="L35" s="1">
        <f t="shared" si="8"/>
        <v>75</v>
      </c>
      <c r="M35" s="1">
        <v>72</v>
      </c>
      <c r="N35" s="1">
        <v>0</v>
      </c>
      <c r="O35" s="1">
        <v>4</v>
      </c>
      <c r="P35" s="1">
        <v>0</v>
      </c>
      <c r="Q35" s="1" t="str">
        <f t="shared" si="4"/>
        <v>49,31,9</v>
      </c>
    </row>
    <row r="36" spans="1:18" x14ac:dyDescent="0.35">
      <c r="A36" s="4">
        <v>7</v>
      </c>
      <c r="B36" s="5">
        <f t="shared" si="0"/>
        <v>45</v>
      </c>
      <c r="C36" s="5">
        <f t="shared" si="1"/>
        <v>6</v>
      </c>
      <c r="D36" s="7" t="s">
        <v>8</v>
      </c>
      <c r="E36" s="1" t="s">
        <v>46</v>
      </c>
      <c r="F36" s="1">
        <v>196</v>
      </c>
      <c r="G36" s="1">
        <v>88</v>
      </c>
      <c r="H36" s="1">
        <f t="shared" si="9"/>
        <v>704</v>
      </c>
      <c r="I36" s="1">
        <f t="shared" si="5"/>
        <v>207</v>
      </c>
      <c r="J36" s="1">
        <f t="shared" si="6"/>
        <v>125</v>
      </c>
      <c r="K36" s="1">
        <f t="shared" si="7"/>
        <v>86</v>
      </c>
      <c r="L36" s="1">
        <f t="shared" si="8"/>
        <v>53</v>
      </c>
      <c r="M36" s="1">
        <v>108</v>
      </c>
      <c r="N36" s="1">
        <v>0</v>
      </c>
      <c r="O36" s="1">
        <v>2</v>
      </c>
      <c r="P36" s="1">
        <v>4</v>
      </c>
      <c r="Q36" s="1" t="str">
        <f t="shared" si="4"/>
        <v>32,14,9;33,15,9</v>
      </c>
    </row>
    <row r="37" spans="1:18" x14ac:dyDescent="0.35">
      <c r="A37" s="4">
        <v>7</v>
      </c>
      <c r="B37" s="5">
        <f t="shared" si="0"/>
        <v>45</v>
      </c>
      <c r="C37" s="5">
        <f t="shared" si="1"/>
        <v>6</v>
      </c>
      <c r="D37" s="7" t="s">
        <v>8</v>
      </c>
      <c r="E37" s="1" t="s">
        <v>23</v>
      </c>
      <c r="F37" s="1">
        <v>196</v>
      </c>
      <c r="G37" s="1">
        <v>66</v>
      </c>
      <c r="H37" s="1">
        <f t="shared" si="9"/>
        <v>528</v>
      </c>
      <c r="I37" s="1">
        <f t="shared" si="5"/>
        <v>154</v>
      </c>
      <c r="J37" s="1">
        <f t="shared" si="6"/>
        <v>93</v>
      </c>
      <c r="K37" s="1">
        <f t="shared" si="7"/>
        <v>64</v>
      </c>
      <c r="L37" s="1">
        <f t="shared" si="8"/>
        <v>39</v>
      </c>
      <c r="M37" s="1">
        <v>130</v>
      </c>
      <c r="N37" s="1">
        <v>0</v>
      </c>
      <c r="O37" s="1">
        <v>4</v>
      </c>
      <c r="P37" s="1">
        <v>1</v>
      </c>
      <c r="Q37" s="1" t="str">
        <f t="shared" si="4"/>
        <v>39,13,13;40,14,13</v>
      </c>
    </row>
    <row r="38" spans="1:18" x14ac:dyDescent="0.35">
      <c r="A38" s="4">
        <v>8</v>
      </c>
      <c r="B38" s="5">
        <f t="shared" si="0"/>
        <v>49</v>
      </c>
      <c r="C38" s="5">
        <f t="shared" si="1"/>
        <v>6</v>
      </c>
      <c r="D38" s="7" t="s">
        <v>9</v>
      </c>
      <c r="E38" s="1" t="s">
        <v>27</v>
      </c>
      <c r="F38" s="1">
        <v>242</v>
      </c>
      <c r="G38" s="1">
        <v>194</v>
      </c>
      <c r="H38" s="1">
        <f t="shared" si="9"/>
        <v>1552</v>
      </c>
      <c r="I38" s="1">
        <f t="shared" si="5"/>
        <v>461</v>
      </c>
      <c r="J38" s="1">
        <f t="shared" si="6"/>
        <v>279</v>
      </c>
      <c r="K38" s="1">
        <f t="shared" si="7"/>
        <v>192</v>
      </c>
      <c r="L38" s="1">
        <f t="shared" si="8"/>
        <v>118</v>
      </c>
      <c r="M38" s="1">
        <v>48</v>
      </c>
      <c r="N38" s="1">
        <v>0</v>
      </c>
      <c r="O38" s="1">
        <v>2</v>
      </c>
      <c r="P38" s="1">
        <v>0</v>
      </c>
      <c r="Q38" s="1" t="str">
        <f t="shared" si="4"/>
        <v>121,97,12</v>
      </c>
    </row>
    <row r="39" spans="1:18" x14ac:dyDescent="0.35">
      <c r="A39" s="4">
        <v>8</v>
      </c>
      <c r="B39" s="5">
        <f t="shared" si="0"/>
        <v>49</v>
      </c>
      <c r="C39" s="5">
        <f t="shared" si="1"/>
        <v>6</v>
      </c>
      <c r="D39" s="7" t="s">
        <v>9</v>
      </c>
      <c r="E39" s="1" t="s">
        <v>28</v>
      </c>
      <c r="F39" s="1">
        <v>242</v>
      </c>
      <c r="G39" s="1">
        <v>154</v>
      </c>
      <c r="H39" s="1">
        <f t="shared" si="9"/>
        <v>1232</v>
      </c>
      <c r="I39" s="1">
        <f t="shared" si="5"/>
        <v>365</v>
      </c>
      <c r="J39" s="1">
        <f t="shared" si="6"/>
        <v>221</v>
      </c>
      <c r="K39" s="1">
        <f t="shared" si="7"/>
        <v>152</v>
      </c>
      <c r="L39" s="1">
        <f t="shared" si="8"/>
        <v>93</v>
      </c>
      <c r="M39" s="1">
        <v>88</v>
      </c>
      <c r="N39" s="1">
        <v>0</v>
      </c>
      <c r="O39" s="1">
        <v>2</v>
      </c>
      <c r="P39" s="1">
        <v>2</v>
      </c>
      <c r="Q39" s="1" t="str">
        <f t="shared" si="4"/>
        <v>60,38,11;61,39,11</v>
      </c>
    </row>
    <row r="40" spans="1:18" x14ac:dyDescent="0.35">
      <c r="A40" s="4">
        <v>8</v>
      </c>
      <c r="B40" s="5">
        <f t="shared" si="0"/>
        <v>49</v>
      </c>
      <c r="C40" s="5">
        <f t="shared" si="1"/>
        <v>6</v>
      </c>
      <c r="D40" s="7" t="s">
        <v>9</v>
      </c>
      <c r="E40" s="1" t="s">
        <v>46</v>
      </c>
      <c r="F40" s="1">
        <v>242</v>
      </c>
      <c r="G40" s="1">
        <v>110</v>
      </c>
      <c r="H40" s="1">
        <f t="shared" si="9"/>
        <v>880</v>
      </c>
      <c r="I40" s="1">
        <f t="shared" si="5"/>
        <v>259</v>
      </c>
      <c r="J40" s="1">
        <f t="shared" si="6"/>
        <v>157</v>
      </c>
      <c r="K40" s="1">
        <f t="shared" si="7"/>
        <v>108</v>
      </c>
      <c r="L40" s="1">
        <f t="shared" si="8"/>
        <v>66</v>
      </c>
      <c r="M40" s="1">
        <v>132</v>
      </c>
      <c r="N40" s="1">
        <v>0</v>
      </c>
      <c r="O40" s="1">
        <v>4</v>
      </c>
      <c r="P40" s="1">
        <v>2</v>
      </c>
      <c r="Q40" s="1" t="str">
        <f t="shared" si="4"/>
        <v>40,18,11;41,19,11</v>
      </c>
    </row>
    <row r="41" spans="1:18" x14ac:dyDescent="0.35">
      <c r="A41" s="4">
        <v>8</v>
      </c>
      <c r="B41" s="5">
        <f t="shared" si="0"/>
        <v>49</v>
      </c>
      <c r="C41" s="5">
        <f t="shared" si="1"/>
        <v>6</v>
      </c>
      <c r="D41" s="7" t="s">
        <v>9</v>
      </c>
      <c r="E41" s="1" t="s">
        <v>23</v>
      </c>
      <c r="F41" s="1">
        <v>242</v>
      </c>
      <c r="G41" s="1">
        <v>86</v>
      </c>
      <c r="H41" s="1">
        <f t="shared" si="9"/>
        <v>688</v>
      </c>
      <c r="I41" s="1">
        <f t="shared" si="5"/>
        <v>202</v>
      </c>
      <c r="J41" s="1">
        <f t="shared" si="6"/>
        <v>122</v>
      </c>
      <c r="K41" s="1">
        <f t="shared" si="7"/>
        <v>84</v>
      </c>
      <c r="L41" s="1">
        <f t="shared" si="8"/>
        <v>52</v>
      </c>
      <c r="M41" s="1">
        <v>156</v>
      </c>
      <c r="N41" s="1">
        <v>0</v>
      </c>
      <c r="O41" s="1">
        <v>4</v>
      </c>
      <c r="P41" s="1">
        <v>2</v>
      </c>
      <c r="Q41" s="1" t="str">
        <f t="shared" si="4"/>
        <v>40,14,13;41,15,13</v>
      </c>
    </row>
    <row r="42" spans="1:18" x14ac:dyDescent="0.35">
      <c r="A42" s="4">
        <v>9</v>
      </c>
      <c r="B42" s="5">
        <f t="shared" si="0"/>
        <v>53</v>
      </c>
      <c r="C42" s="5">
        <f t="shared" si="1"/>
        <v>6</v>
      </c>
      <c r="D42" s="7" t="s">
        <v>10</v>
      </c>
      <c r="E42" s="1" t="s">
        <v>27</v>
      </c>
      <c r="F42" s="1">
        <v>292</v>
      </c>
      <c r="G42" s="1">
        <v>232</v>
      </c>
      <c r="H42" s="1">
        <f t="shared" si="9"/>
        <v>1856</v>
      </c>
      <c r="I42" s="1">
        <f t="shared" ref="I42:I73" si="10">QUOTIENT(H42-4-IF(A42&lt;=9,10,IF(AND(A42&gt;9,A42&lt;=26),12,IF(AND(A42&gt;26,A42&lt;=40),14))),10)*3+
IF(MOD(H42-4-IF(A42&lt;=9,10,IF(AND(A42&gt;9,A42&lt;=26),12,IF(AND(A42&gt;26,A42&lt;=40),14))),10)&gt;=7,2,IF(MOD(H42-4-IF(A42&lt;=9,10,IF(AND(A42&gt;9,A42&lt;=26),12,IF(AND(A42&gt;26,A42&lt;=40),14))),10)&lt;4,0,1))</f>
        <v>552</v>
      </c>
      <c r="J42" s="1">
        <f t="shared" ref="J42:J73" si="11">QUOTIENT(H42-4-IF(A42&lt;=9,9,IF(AND(A42&gt;9,A42&lt;=26),11,IF(AND(A42&gt;26,A42&lt;=40),13))),11)*2+
IF(MOD(H42-4-IF(A42&lt;=9,9,IF(AND(A42&gt;9,A42&lt;=26),11,IF(AND(A42&gt;26,A42&lt;=40),13))),11)&gt;=6,1,0)</f>
        <v>335</v>
      </c>
      <c r="K42" s="1">
        <f t="shared" ref="K42:K73" si="12">QUOTIENT(H42-4-IF(A42&lt;=9,8,IF(AND(A42&gt;9,A42&lt;=26),16,IF(AND(A42&gt;26,A42&lt;=40),16))),8)</f>
        <v>230</v>
      </c>
      <c r="L42" s="1">
        <f t="shared" ref="L42:L73" si="13">QUOTIENT(H42-4-IF(A42&lt;=9,8,IF(AND(A42&gt;9,A42&lt;=26),10,IF(AND(A42&gt;26,A42&lt;=40),12))),13)</f>
        <v>141</v>
      </c>
      <c r="M42" s="1">
        <v>60</v>
      </c>
      <c r="N42" s="1">
        <v>0</v>
      </c>
      <c r="O42" s="1">
        <v>2</v>
      </c>
      <c r="P42" s="1">
        <v>0</v>
      </c>
      <c r="Q42" s="1" t="str">
        <f t="shared" ref="Q42:Q73" si="14">IF(P42=0,
(M42+G42)/O42&amp;","&amp;(G42/O42)&amp;","&amp;IF(N42&lt;2,_xlfn.FLOOR.MATH(((M42+G42)/O42-G42/O42)/2),_xlfn.FLOOR.MATH(((M42+G42)/O42-G42/O42)/2)-1),
_xlfn.FLOOR.MATH((M42+G42)/(O42+P42))&amp;","&amp;_xlfn.FLOOR.MATH((G42/(O42+P42)))&amp;","&amp;IF(N42&lt;2,_xlfn.FLOOR.MATH(((M42+G42)/(O42+P42)-G42/(O42+P42))/2),_xlfn.FLOOR.MATH(((M42+G42)/(O42+P42)-G42/(O42+P42))/2)-1)&amp;";"&amp;
_xlfn.CEILING.MATH((M42+G42)/(O42+P42))&amp;","&amp;_xlfn.CEILING.MATH((G42/(O42+P42)))&amp;","&amp;IF(N42&lt;2,_xlfn.CEILING.MATH(((M42+G42)/(O42+P42)-G42/(O42+P42))/2),_xlfn.CEILING.MATH(((M42+G42)/(O42+P42)-G42/(O42+P42))/2)-1))</f>
        <v>146,116,15</v>
      </c>
    </row>
    <row r="43" spans="1:18" x14ac:dyDescent="0.35">
      <c r="A43" s="4">
        <v>9</v>
      </c>
      <c r="B43" s="5">
        <f t="shared" si="0"/>
        <v>53</v>
      </c>
      <c r="C43" s="5">
        <f t="shared" si="1"/>
        <v>6</v>
      </c>
      <c r="D43" s="7" t="s">
        <v>10</v>
      </c>
      <c r="E43" s="1" t="s">
        <v>28</v>
      </c>
      <c r="F43" s="1">
        <v>292</v>
      </c>
      <c r="G43" s="1">
        <v>182</v>
      </c>
      <c r="H43" s="1">
        <f t="shared" si="9"/>
        <v>1456</v>
      </c>
      <c r="I43" s="1">
        <f t="shared" si="10"/>
        <v>432</v>
      </c>
      <c r="J43" s="1">
        <f t="shared" si="11"/>
        <v>262</v>
      </c>
      <c r="K43" s="1">
        <f t="shared" si="12"/>
        <v>180</v>
      </c>
      <c r="L43" s="1">
        <f t="shared" si="13"/>
        <v>111</v>
      </c>
      <c r="M43" s="1">
        <v>110</v>
      </c>
      <c r="N43" s="1">
        <v>0</v>
      </c>
      <c r="O43" s="1">
        <v>3</v>
      </c>
      <c r="P43" s="1">
        <v>2</v>
      </c>
      <c r="Q43" s="1" t="str">
        <f t="shared" si="14"/>
        <v>58,36,11;59,37,11</v>
      </c>
    </row>
    <row r="44" spans="1:18" x14ac:dyDescent="0.35">
      <c r="A44" s="4">
        <v>9</v>
      </c>
      <c r="B44" s="5">
        <f t="shared" si="0"/>
        <v>53</v>
      </c>
      <c r="C44" s="5">
        <f t="shared" si="1"/>
        <v>6</v>
      </c>
      <c r="D44" s="7" t="s">
        <v>10</v>
      </c>
      <c r="E44" s="1" t="s">
        <v>46</v>
      </c>
      <c r="F44" s="1">
        <v>292</v>
      </c>
      <c r="G44" s="1">
        <v>132</v>
      </c>
      <c r="H44" s="1">
        <f t="shared" si="9"/>
        <v>1056</v>
      </c>
      <c r="I44" s="1">
        <f t="shared" si="10"/>
        <v>312</v>
      </c>
      <c r="J44" s="1">
        <f t="shared" si="11"/>
        <v>189</v>
      </c>
      <c r="K44" s="1">
        <f t="shared" si="12"/>
        <v>130</v>
      </c>
      <c r="L44" s="1">
        <f t="shared" si="13"/>
        <v>80</v>
      </c>
      <c r="M44" s="1">
        <v>160</v>
      </c>
      <c r="N44" s="1">
        <v>0</v>
      </c>
      <c r="O44" s="1">
        <v>4</v>
      </c>
      <c r="P44" s="1">
        <v>4</v>
      </c>
      <c r="Q44" s="1" t="str">
        <f t="shared" si="14"/>
        <v>36,16,10;37,17,10</v>
      </c>
    </row>
    <row r="45" spans="1:18" x14ac:dyDescent="0.35">
      <c r="A45" s="4">
        <v>9</v>
      </c>
      <c r="B45" s="5">
        <f t="shared" si="0"/>
        <v>53</v>
      </c>
      <c r="C45" s="5">
        <f t="shared" si="1"/>
        <v>6</v>
      </c>
      <c r="D45" s="7" t="s">
        <v>10</v>
      </c>
      <c r="E45" s="1" t="s">
        <v>23</v>
      </c>
      <c r="F45" s="1">
        <v>292</v>
      </c>
      <c r="G45" s="1">
        <v>100</v>
      </c>
      <c r="H45" s="1">
        <f t="shared" si="9"/>
        <v>800</v>
      </c>
      <c r="I45" s="1">
        <f t="shared" si="10"/>
        <v>235</v>
      </c>
      <c r="J45" s="1">
        <f t="shared" si="11"/>
        <v>143</v>
      </c>
      <c r="K45" s="1">
        <f t="shared" si="12"/>
        <v>98</v>
      </c>
      <c r="L45" s="1">
        <f t="shared" si="13"/>
        <v>60</v>
      </c>
      <c r="M45" s="1">
        <v>192</v>
      </c>
      <c r="N45" s="1">
        <v>0</v>
      </c>
      <c r="O45" s="1">
        <v>4</v>
      </c>
      <c r="P45" s="1">
        <v>4</v>
      </c>
      <c r="Q45" s="1" t="str">
        <f t="shared" si="14"/>
        <v>36,12,12;37,13,12</v>
      </c>
    </row>
    <row r="46" spans="1:18" x14ac:dyDescent="0.35">
      <c r="A46" s="4">
        <v>10</v>
      </c>
      <c r="B46" s="5">
        <f t="shared" si="0"/>
        <v>57</v>
      </c>
      <c r="C46" s="5">
        <f t="shared" si="1"/>
        <v>6</v>
      </c>
      <c r="D46" s="7" t="s">
        <v>11</v>
      </c>
      <c r="E46" s="1" t="s">
        <v>27</v>
      </c>
      <c r="F46" s="1">
        <v>346</v>
      </c>
      <c r="G46" s="1">
        <v>274</v>
      </c>
      <c r="H46" s="1">
        <f t="shared" si="9"/>
        <v>2192</v>
      </c>
      <c r="I46" s="1">
        <f t="shared" si="10"/>
        <v>652</v>
      </c>
      <c r="J46" s="1">
        <f t="shared" si="11"/>
        <v>395</v>
      </c>
      <c r="K46" s="1">
        <f t="shared" si="12"/>
        <v>271</v>
      </c>
      <c r="L46" s="1">
        <f t="shared" si="13"/>
        <v>167</v>
      </c>
      <c r="M46" s="1">
        <v>72</v>
      </c>
      <c r="N46" s="1">
        <v>0</v>
      </c>
      <c r="O46" s="1">
        <v>2</v>
      </c>
      <c r="P46" s="1">
        <v>2</v>
      </c>
      <c r="Q46" s="1" t="str">
        <f t="shared" si="14"/>
        <v>86,68,9;87,69,9</v>
      </c>
    </row>
    <row r="47" spans="1:18" x14ac:dyDescent="0.35">
      <c r="A47" s="4">
        <v>10</v>
      </c>
      <c r="B47" s="5">
        <f t="shared" si="0"/>
        <v>57</v>
      </c>
      <c r="C47" s="5">
        <f t="shared" si="1"/>
        <v>6</v>
      </c>
      <c r="D47" s="7" t="s">
        <v>11</v>
      </c>
      <c r="E47" s="1" t="s">
        <v>28</v>
      </c>
      <c r="F47" s="1">
        <v>346</v>
      </c>
      <c r="G47" s="1">
        <v>216</v>
      </c>
      <c r="H47" s="1">
        <f t="shared" si="9"/>
        <v>1728</v>
      </c>
      <c r="I47" s="1">
        <f t="shared" si="10"/>
        <v>513</v>
      </c>
      <c r="J47" s="1">
        <f t="shared" si="11"/>
        <v>311</v>
      </c>
      <c r="K47" s="1">
        <f t="shared" si="12"/>
        <v>213</v>
      </c>
      <c r="L47" s="1">
        <f t="shared" si="13"/>
        <v>131</v>
      </c>
      <c r="M47" s="1">
        <v>130</v>
      </c>
      <c r="N47" s="1">
        <v>0</v>
      </c>
      <c r="O47" s="1">
        <v>4</v>
      </c>
      <c r="P47" s="1">
        <v>1</v>
      </c>
      <c r="Q47" s="1" t="str">
        <f t="shared" si="14"/>
        <v>69,43,13;70,44,13</v>
      </c>
    </row>
    <row r="48" spans="1:18" x14ac:dyDescent="0.35">
      <c r="A48" s="4">
        <v>10</v>
      </c>
      <c r="B48" s="5">
        <f t="shared" si="0"/>
        <v>57</v>
      </c>
      <c r="C48" s="5">
        <f t="shared" si="1"/>
        <v>6</v>
      </c>
      <c r="D48" s="7" t="s">
        <v>11</v>
      </c>
      <c r="E48" s="1" t="s">
        <v>46</v>
      </c>
      <c r="F48" s="1">
        <v>346</v>
      </c>
      <c r="G48" s="1">
        <v>154</v>
      </c>
      <c r="H48" s="1">
        <f t="shared" si="9"/>
        <v>1232</v>
      </c>
      <c r="I48" s="1">
        <f t="shared" si="10"/>
        <v>364</v>
      </c>
      <c r="J48" s="1">
        <f t="shared" si="11"/>
        <v>221</v>
      </c>
      <c r="K48" s="1">
        <f t="shared" si="12"/>
        <v>151</v>
      </c>
      <c r="L48" s="1">
        <f t="shared" si="13"/>
        <v>93</v>
      </c>
      <c r="M48" s="1">
        <v>192</v>
      </c>
      <c r="N48" s="1">
        <v>0</v>
      </c>
      <c r="O48" s="1">
        <v>6</v>
      </c>
      <c r="P48" s="1">
        <v>2</v>
      </c>
      <c r="Q48" s="1" t="str">
        <f t="shared" si="14"/>
        <v>43,19,12;44,20,12</v>
      </c>
    </row>
    <row r="49" spans="1:17" x14ac:dyDescent="0.35">
      <c r="A49" s="4">
        <v>10</v>
      </c>
      <c r="B49" s="5">
        <f t="shared" si="0"/>
        <v>57</v>
      </c>
      <c r="C49" s="5">
        <f t="shared" si="1"/>
        <v>6</v>
      </c>
      <c r="D49" s="7" t="s">
        <v>11</v>
      </c>
      <c r="E49" s="1" t="s">
        <v>23</v>
      </c>
      <c r="F49" s="1">
        <v>346</v>
      </c>
      <c r="G49" s="1">
        <v>122</v>
      </c>
      <c r="H49" s="1">
        <f t="shared" si="9"/>
        <v>976</v>
      </c>
      <c r="I49" s="1">
        <f t="shared" si="10"/>
        <v>288</v>
      </c>
      <c r="J49" s="1">
        <f t="shared" si="11"/>
        <v>174</v>
      </c>
      <c r="K49" s="1">
        <f t="shared" si="12"/>
        <v>119</v>
      </c>
      <c r="L49" s="1">
        <f t="shared" si="13"/>
        <v>74</v>
      </c>
      <c r="M49" s="1">
        <v>224</v>
      </c>
      <c r="N49" s="1">
        <v>0</v>
      </c>
      <c r="O49" s="1">
        <v>6</v>
      </c>
      <c r="P49" s="1">
        <v>2</v>
      </c>
      <c r="Q49" s="1" t="str">
        <f t="shared" si="14"/>
        <v>43,15,14;44,16,14</v>
      </c>
    </row>
    <row r="50" spans="1:17" x14ac:dyDescent="0.35">
      <c r="A50" s="4">
        <v>11</v>
      </c>
      <c r="B50" s="5">
        <f t="shared" si="0"/>
        <v>61</v>
      </c>
      <c r="C50" s="5">
        <f t="shared" si="1"/>
        <v>6</v>
      </c>
      <c r="D50" s="7" t="s">
        <v>12</v>
      </c>
      <c r="E50" s="1" t="s">
        <v>27</v>
      </c>
      <c r="F50" s="1">
        <v>404</v>
      </c>
      <c r="G50" s="1">
        <v>324</v>
      </c>
      <c r="H50" s="1">
        <f t="shared" si="9"/>
        <v>2592</v>
      </c>
      <c r="I50" s="1">
        <f t="shared" si="10"/>
        <v>772</v>
      </c>
      <c r="J50" s="1">
        <f t="shared" si="11"/>
        <v>468</v>
      </c>
      <c r="K50" s="1">
        <f t="shared" si="12"/>
        <v>321</v>
      </c>
      <c r="L50" s="1">
        <f t="shared" si="13"/>
        <v>198</v>
      </c>
      <c r="M50" s="1">
        <v>80</v>
      </c>
      <c r="N50" s="1">
        <v>0</v>
      </c>
      <c r="O50" s="1">
        <v>4</v>
      </c>
      <c r="P50" s="1">
        <v>0</v>
      </c>
      <c r="Q50" s="1" t="str">
        <f t="shared" si="14"/>
        <v>101,81,10</v>
      </c>
    </row>
    <row r="51" spans="1:17" x14ac:dyDescent="0.35">
      <c r="A51" s="4">
        <v>11</v>
      </c>
      <c r="B51" s="5">
        <f t="shared" si="0"/>
        <v>61</v>
      </c>
      <c r="C51" s="5">
        <f t="shared" si="1"/>
        <v>6</v>
      </c>
      <c r="D51" s="7" t="s">
        <v>12</v>
      </c>
      <c r="E51" s="1" t="s">
        <v>28</v>
      </c>
      <c r="F51" s="1">
        <v>404</v>
      </c>
      <c r="G51" s="1">
        <v>254</v>
      </c>
      <c r="H51" s="1">
        <f t="shared" si="9"/>
        <v>2032</v>
      </c>
      <c r="I51" s="1">
        <f t="shared" si="10"/>
        <v>604</v>
      </c>
      <c r="J51" s="1">
        <f t="shared" si="11"/>
        <v>366</v>
      </c>
      <c r="K51" s="1">
        <f t="shared" si="12"/>
        <v>251</v>
      </c>
      <c r="L51" s="1">
        <f t="shared" si="13"/>
        <v>155</v>
      </c>
      <c r="M51" s="1">
        <v>150</v>
      </c>
      <c r="N51" s="1">
        <v>0</v>
      </c>
      <c r="O51" s="1">
        <v>1</v>
      </c>
      <c r="P51" s="1">
        <v>4</v>
      </c>
      <c r="Q51" s="1" t="str">
        <f t="shared" si="14"/>
        <v>80,50,15;81,51,15</v>
      </c>
    </row>
    <row r="52" spans="1:17" x14ac:dyDescent="0.35">
      <c r="A52" s="4">
        <v>11</v>
      </c>
      <c r="B52" s="5">
        <f t="shared" si="0"/>
        <v>61</v>
      </c>
      <c r="C52" s="5">
        <f t="shared" si="1"/>
        <v>6</v>
      </c>
      <c r="D52" s="7" t="s">
        <v>12</v>
      </c>
      <c r="E52" s="1" t="s">
        <v>46</v>
      </c>
      <c r="F52" s="1">
        <v>404</v>
      </c>
      <c r="G52" s="1">
        <v>180</v>
      </c>
      <c r="H52" s="1">
        <f t="shared" si="9"/>
        <v>1440</v>
      </c>
      <c r="I52" s="1">
        <f t="shared" si="10"/>
        <v>427</v>
      </c>
      <c r="J52" s="1">
        <f t="shared" si="11"/>
        <v>259</v>
      </c>
      <c r="K52" s="1">
        <f t="shared" si="12"/>
        <v>177</v>
      </c>
      <c r="L52" s="1">
        <f t="shared" si="13"/>
        <v>109</v>
      </c>
      <c r="M52" s="1">
        <v>224</v>
      </c>
      <c r="N52" s="1">
        <v>0</v>
      </c>
      <c r="O52" s="1">
        <v>4</v>
      </c>
      <c r="P52" s="1">
        <v>4</v>
      </c>
      <c r="Q52" s="1" t="str">
        <f t="shared" si="14"/>
        <v>50,22,14;51,23,14</v>
      </c>
    </row>
    <row r="53" spans="1:17" x14ac:dyDescent="0.35">
      <c r="A53" s="4">
        <v>11</v>
      </c>
      <c r="B53" s="5">
        <f t="shared" si="0"/>
        <v>61</v>
      </c>
      <c r="C53" s="5">
        <f t="shared" si="1"/>
        <v>6</v>
      </c>
      <c r="D53" s="7" t="s">
        <v>12</v>
      </c>
      <c r="E53" s="1" t="s">
        <v>23</v>
      </c>
      <c r="F53" s="1">
        <v>404</v>
      </c>
      <c r="G53" s="1">
        <v>140</v>
      </c>
      <c r="H53" s="1">
        <f t="shared" si="9"/>
        <v>1120</v>
      </c>
      <c r="I53" s="1">
        <f t="shared" si="10"/>
        <v>331</v>
      </c>
      <c r="J53" s="1">
        <f t="shared" si="11"/>
        <v>200</v>
      </c>
      <c r="K53" s="1">
        <f t="shared" si="12"/>
        <v>137</v>
      </c>
      <c r="L53" s="1">
        <f t="shared" si="13"/>
        <v>85</v>
      </c>
      <c r="M53" s="1">
        <v>204</v>
      </c>
      <c r="N53" s="1">
        <v>0</v>
      </c>
      <c r="O53" s="1">
        <v>3</v>
      </c>
      <c r="P53" s="1">
        <v>8</v>
      </c>
      <c r="Q53" s="1" t="str">
        <f t="shared" si="14"/>
        <v>31,12,9;32,13,10</v>
      </c>
    </row>
    <row r="54" spans="1:17" x14ac:dyDescent="0.35">
      <c r="A54" s="4">
        <v>12</v>
      </c>
      <c r="B54" s="5">
        <f t="shared" si="0"/>
        <v>65</v>
      </c>
      <c r="C54" s="5">
        <f t="shared" si="1"/>
        <v>6</v>
      </c>
      <c r="D54" s="7" t="s">
        <v>13</v>
      </c>
      <c r="E54" s="1" t="s">
        <v>27</v>
      </c>
      <c r="F54" s="1">
        <v>466</v>
      </c>
      <c r="G54" s="1">
        <v>370</v>
      </c>
      <c r="H54" s="1">
        <f t="shared" si="9"/>
        <v>2960</v>
      </c>
      <c r="I54" s="1">
        <f t="shared" si="10"/>
        <v>883</v>
      </c>
      <c r="J54" s="1">
        <f t="shared" si="11"/>
        <v>535</v>
      </c>
      <c r="K54" s="1">
        <f t="shared" si="12"/>
        <v>367</v>
      </c>
      <c r="L54" s="1">
        <f t="shared" si="13"/>
        <v>226</v>
      </c>
      <c r="M54" s="1">
        <v>96</v>
      </c>
      <c r="N54" s="1">
        <v>0</v>
      </c>
      <c r="O54" s="1">
        <v>2</v>
      </c>
      <c r="P54" s="1">
        <v>2</v>
      </c>
      <c r="Q54" s="1" t="str">
        <f t="shared" si="14"/>
        <v>116,92,12;117,93,12</v>
      </c>
    </row>
    <row r="55" spans="1:17" x14ac:dyDescent="0.35">
      <c r="A55" s="4">
        <v>12</v>
      </c>
      <c r="B55" s="5">
        <f t="shared" si="0"/>
        <v>65</v>
      </c>
      <c r="C55" s="5">
        <f t="shared" si="1"/>
        <v>6</v>
      </c>
      <c r="D55" s="7" t="s">
        <v>13</v>
      </c>
      <c r="E55" s="1" t="s">
        <v>28</v>
      </c>
      <c r="F55" s="1">
        <v>466</v>
      </c>
      <c r="G55" s="1">
        <v>290</v>
      </c>
      <c r="H55" s="1">
        <f t="shared" si="9"/>
        <v>2320</v>
      </c>
      <c r="I55" s="1">
        <f t="shared" si="10"/>
        <v>691</v>
      </c>
      <c r="J55" s="1">
        <f t="shared" si="11"/>
        <v>419</v>
      </c>
      <c r="K55" s="1">
        <f t="shared" si="12"/>
        <v>287</v>
      </c>
      <c r="L55" s="1">
        <f t="shared" si="13"/>
        <v>177</v>
      </c>
      <c r="M55" s="1">
        <v>176</v>
      </c>
      <c r="N55" s="1">
        <v>0</v>
      </c>
      <c r="O55" s="1">
        <v>6</v>
      </c>
      <c r="P55" s="1">
        <v>2</v>
      </c>
      <c r="Q55" s="1" t="str">
        <f t="shared" si="14"/>
        <v>58,36,11;59,37,11</v>
      </c>
    </row>
    <row r="56" spans="1:17" x14ac:dyDescent="0.35">
      <c r="A56" s="4">
        <v>12</v>
      </c>
      <c r="B56" s="5">
        <f t="shared" si="0"/>
        <v>65</v>
      </c>
      <c r="C56" s="5">
        <f t="shared" si="1"/>
        <v>6</v>
      </c>
      <c r="D56" s="7" t="s">
        <v>13</v>
      </c>
      <c r="E56" s="1" t="s">
        <v>46</v>
      </c>
      <c r="F56" s="1">
        <v>466</v>
      </c>
      <c r="G56" s="1">
        <v>206</v>
      </c>
      <c r="H56" s="1">
        <f t="shared" si="9"/>
        <v>1648</v>
      </c>
      <c r="I56" s="1">
        <f t="shared" si="10"/>
        <v>489</v>
      </c>
      <c r="J56" s="1">
        <f t="shared" si="11"/>
        <v>296</v>
      </c>
      <c r="K56" s="1">
        <f t="shared" si="12"/>
        <v>203</v>
      </c>
      <c r="L56" s="1">
        <f t="shared" si="13"/>
        <v>125</v>
      </c>
      <c r="M56" s="1">
        <v>260</v>
      </c>
      <c r="N56" s="1">
        <v>0</v>
      </c>
      <c r="O56" s="1">
        <v>4</v>
      </c>
      <c r="P56" s="1">
        <v>6</v>
      </c>
      <c r="Q56" s="1" t="str">
        <f t="shared" si="14"/>
        <v>46,20,13;47,21,13</v>
      </c>
    </row>
    <row r="57" spans="1:17" x14ac:dyDescent="0.35">
      <c r="A57" s="4">
        <v>12</v>
      </c>
      <c r="B57" s="5">
        <f t="shared" si="0"/>
        <v>65</v>
      </c>
      <c r="C57" s="5">
        <f t="shared" si="1"/>
        <v>6</v>
      </c>
      <c r="D57" s="7" t="s">
        <v>13</v>
      </c>
      <c r="E57" s="1" t="s">
        <v>23</v>
      </c>
      <c r="F57" s="1">
        <v>466</v>
      </c>
      <c r="G57" s="1">
        <v>158</v>
      </c>
      <c r="H57" s="1">
        <f t="shared" si="9"/>
        <v>1264</v>
      </c>
      <c r="I57" s="1">
        <f t="shared" si="10"/>
        <v>374</v>
      </c>
      <c r="J57" s="1">
        <f t="shared" si="11"/>
        <v>227</v>
      </c>
      <c r="K57" s="1">
        <f t="shared" si="12"/>
        <v>155</v>
      </c>
      <c r="L57" s="1">
        <f t="shared" si="13"/>
        <v>96</v>
      </c>
      <c r="M57" s="1">
        <v>308</v>
      </c>
      <c r="N57" s="1">
        <v>0</v>
      </c>
      <c r="O57" s="1">
        <v>7</v>
      </c>
      <c r="P57" s="1">
        <v>4</v>
      </c>
      <c r="Q57" s="1" t="str">
        <f t="shared" si="14"/>
        <v>42,14,14;43,15,14</v>
      </c>
    </row>
    <row r="58" spans="1:17" x14ac:dyDescent="0.35">
      <c r="A58" s="4">
        <v>13</v>
      </c>
      <c r="B58" s="5">
        <f t="shared" si="0"/>
        <v>69</v>
      </c>
      <c r="C58" s="5">
        <f t="shared" si="1"/>
        <v>6</v>
      </c>
      <c r="D58" s="7" t="s">
        <v>14</v>
      </c>
      <c r="E58" s="1" t="s">
        <v>27</v>
      </c>
      <c r="F58" s="1">
        <v>532</v>
      </c>
      <c r="G58" s="1">
        <v>428</v>
      </c>
      <c r="H58" s="1">
        <f t="shared" si="9"/>
        <v>3424</v>
      </c>
      <c r="I58" s="1">
        <f t="shared" si="10"/>
        <v>1022</v>
      </c>
      <c r="J58" s="1">
        <f t="shared" si="11"/>
        <v>619</v>
      </c>
      <c r="K58" s="1">
        <f t="shared" si="12"/>
        <v>425</v>
      </c>
      <c r="L58" s="1">
        <f t="shared" si="13"/>
        <v>262</v>
      </c>
      <c r="M58" s="1">
        <v>104</v>
      </c>
      <c r="N58" s="1">
        <v>0</v>
      </c>
      <c r="O58" s="1">
        <v>4</v>
      </c>
      <c r="P58" s="1">
        <v>0</v>
      </c>
      <c r="Q58" s="1" t="str">
        <f t="shared" si="14"/>
        <v>133,107,13</v>
      </c>
    </row>
    <row r="59" spans="1:17" x14ac:dyDescent="0.35">
      <c r="A59" s="4">
        <v>13</v>
      </c>
      <c r="B59" s="5">
        <f t="shared" si="0"/>
        <v>69</v>
      </c>
      <c r="C59" s="5">
        <f t="shared" si="1"/>
        <v>6</v>
      </c>
      <c r="D59" s="7" t="s">
        <v>14</v>
      </c>
      <c r="E59" s="1" t="s">
        <v>28</v>
      </c>
      <c r="F59" s="1">
        <v>532</v>
      </c>
      <c r="G59" s="1">
        <v>334</v>
      </c>
      <c r="H59" s="1">
        <f t="shared" si="9"/>
        <v>2672</v>
      </c>
      <c r="I59" s="1">
        <f t="shared" si="10"/>
        <v>796</v>
      </c>
      <c r="J59" s="1">
        <f t="shared" si="11"/>
        <v>483</v>
      </c>
      <c r="K59" s="1">
        <f t="shared" si="12"/>
        <v>331</v>
      </c>
      <c r="L59" s="1">
        <f t="shared" si="13"/>
        <v>204</v>
      </c>
      <c r="M59" s="1">
        <v>198</v>
      </c>
      <c r="N59" s="1">
        <v>0</v>
      </c>
      <c r="O59" s="1">
        <v>8</v>
      </c>
      <c r="P59" s="1">
        <v>1</v>
      </c>
      <c r="Q59" s="1" t="str">
        <f t="shared" si="14"/>
        <v>59,37,11;60,38,11</v>
      </c>
    </row>
    <row r="60" spans="1:17" x14ac:dyDescent="0.35">
      <c r="A60" s="4">
        <v>13</v>
      </c>
      <c r="B60" s="5">
        <f t="shared" si="0"/>
        <v>69</v>
      </c>
      <c r="C60" s="5">
        <f t="shared" si="1"/>
        <v>6</v>
      </c>
      <c r="D60" s="7" t="s">
        <v>14</v>
      </c>
      <c r="E60" s="1" t="s">
        <v>46</v>
      </c>
      <c r="F60" s="1">
        <v>532</v>
      </c>
      <c r="G60" s="1">
        <v>244</v>
      </c>
      <c r="H60" s="1">
        <f t="shared" si="9"/>
        <v>1952</v>
      </c>
      <c r="I60" s="1">
        <f t="shared" si="10"/>
        <v>580</v>
      </c>
      <c r="J60" s="1">
        <f t="shared" si="11"/>
        <v>352</v>
      </c>
      <c r="K60" s="1">
        <f t="shared" si="12"/>
        <v>241</v>
      </c>
      <c r="L60" s="1">
        <f t="shared" si="13"/>
        <v>149</v>
      </c>
      <c r="M60" s="1">
        <v>288</v>
      </c>
      <c r="N60" s="1">
        <v>0</v>
      </c>
      <c r="O60" s="1">
        <v>8</v>
      </c>
      <c r="P60" s="1">
        <v>4</v>
      </c>
      <c r="Q60" s="1" t="str">
        <f t="shared" si="14"/>
        <v>44,20,12;45,21,12</v>
      </c>
    </row>
    <row r="61" spans="1:17" x14ac:dyDescent="0.35">
      <c r="A61" s="4">
        <v>13</v>
      </c>
      <c r="B61" s="5">
        <f t="shared" si="0"/>
        <v>69</v>
      </c>
      <c r="C61" s="5">
        <f t="shared" si="1"/>
        <v>6</v>
      </c>
      <c r="D61" s="7" t="s">
        <v>14</v>
      </c>
      <c r="E61" s="1" t="s">
        <v>23</v>
      </c>
      <c r="F61" s="1">
        <v>532</v>
      </c>
      <c r="G61" s="1">
        <v>180</v>
      </c>
      <c r="H61" s="1">
        <f t="shared" si="9"/>
        <v>1440</v>
      </c>
      <c r="I61" s="1">
        <f t="shared" si="10"/>
        <v>427</v>
      </c>
      <c r="J61" s="1">
        <f t="shared" si="11"/>
        <v>259</v>
      </c>
      <c r="K61" s="1">
        <f t="shared" si="12"/>
        <v>177</v>
      </c>
      <c r="L61" s="1">
        <f t="shared" si="13"/>
        <v>109</v>
      </c>
      <c r="M61" s="1">
        <v>352</v>
      </c>
      <c r="N61" s="1">
        <v>0</v>
      </c>
      <c r="O61" s="1">
        <v>12</v>
      </c>
      <c r="P61" s="1">
        <v>4</v>
      </c>
      <c r="Q61" s="1" t="str">
        <f t="shared" si="14"/>
        <v>33,11,11;34,12,11</v>
      </c>
    </row>
    <row r="62" spans="1:17" x14ac:dyDescent="0.35">
      <c r="A62" s="4">
        <v>14</v>
      </c>
      <c r="B62" s="5">
        <f t="shared" si="0"/>
        <v>73</v>
      </c>
      <c r="C62" s="5">
        <f t="shared" si="1"/>
        <v>13</v>
      </c>
      <c r="D62" s="7" t="s">
        <v>51</v>
      </c>
      <c r="E62" s="1" t="s">
        <v>27</v>
      </c>
      <c r="F62" s="1">
        <v>581</v>
      </c>
      <c r="G62" s="1">
        <v>461</v>
      </c>
      <c r="H62" s="1">
        <f t="shared" si="9"/>
        <v>3688</v>
      </c>
      <c r="I62" s="1">
        <f t="shared" si="10"/>
        <v>1101</v>
      </c>
      <c r="J62" s="1">
        <f t="shared" si="11"/>
        <v>667</v>
      </c>
      <c r="K62" s="1">
        <f t="shared" si="12"/>
        <v>458</v>
      </c>
      <c r="L62" s="1">
        <f t="shared" si="13"/>
        <v>282</v>
      </c>
      <c r="M62" s="1">
        <v>120</v>
      </c>
      <c r="N62" s="1">
        <v>0</v>
      </c>
      <c r="O62" s="1">
        <v>3</v>
      </c>
      <c r="P62" s="1">
        <v>1</v>
      </c>
      <c r="Q62" s="1" t="str">
        <f t="shared" si="14"/>
        <v>145,115,15;146,116,15</v>
      </c>
    </row>
    <row r="63" spans="1:17" x14ac:dyDescent="0.35">
      <c r="A63" s="4">
        <v>14</v>
      </c>
      <c r="B63" s="5">
        <f t="shared" si="0"/>
        <v>73</v>
      </c>
      <c r="C63" s="5">
        <f t="shared" si="1"/>
        <v>13</v>
      </c>
      <c r="D63" s="7" t="s">
        <v>51</v>
      </c>
      <c r="E63" s="1" t="s">
        <v>28</v>
      </c>
      <c r="F63" s="1">
        <v>581</v>
      </c>
      <c r="G63" s="1">
        <v>365</v>
      </c>
      <c r="H63" s="1">
        <f t="shared" si="9"/>
        <v>2920</v>
      </c>
      <c r="I63" s="1">
        <f t="shared" si="10"/>
        <v>871</v>
      </c>
      <c r="J63" s="1">
        <f t="shared" si="11"/>
        <v>528</v>
      </c>
      <c r="K63" s="1">
        <f t="shared" si="12"/>
        <v>362</v>
      </c>
      <c r="L63" s="1">
        <f t="shared" si="13"/>
        <v>223</v>
      </c>
      <c r="M63" s="1">
        <v>216</v>
      </c>
      <c r="N63" s="1">
        <v>0</v>
      </c>
      <c r="O63" s="1">
        <v>4</v>
      </c>
      <c r="P63" s="1">
        <v>5</v>
      </c>
      <c r="Q63" s="1" t="str">
        <f t="shared" si="14"/>
        <v>64,40,12;65,41,12</v>
      </c>
    </row>
    <row r="64" spans="1:17" x14ac:dyDescent="0.35">
      <c r="A64" s="4">
        <v>14</v>
      </c>
      <c r="B64" s="5">
        <f t="shared" si="0"/>
        <v>73</v>
      </c>
      <c r="C64" s="5">
        <f t="shared" si="1"/>
        <v>13</v>
      </c>
      <c r="D64" s="7" t="s">
        <v>51</v>
      </c>
      <c r="E64" s="1" t="s">
        <v>46</v>
      </c>
      <c r="F64" s="1">
        <v>581</v>
      </c>
      <c r="G64" s="1">
        <v>261</v>
      </c>
      <c r="H64" s="1">
        <f t="shared" si="9"/>
        <v>2088</v>
      </c>
      <c r="I64" s="1">
        <f t="shared" si="10"/>
        <v>621</v>
      </c>
      <c r="J64" s="1">
        <f t="shared" si="11"/>
        <v>376</v>
      </c>
      <c r="K64" s="1">
        <f t="shared" si="12"/>
        <v>258</v>
      </c>
      <c r="L64" s="1">
        <f t="shared" si="13"/>
        <v>159</v>
      </c>
      <c r="M64" s="1">
        <v>320</v>
      </c>
      <c r="N64" s="1">
        <v>0</v>
      </c>
      <c r="O64" s="1">
        <v>11</v>
      </c>
      <c r="P64" s="1">
        <v>5</v>
      </c>
      <c r="Q64" s="1" t="str">
        <f t="shared" si="14"/>
        <v>36,16,10;37,17,10</v>
      </c>
    </row>
    <row r="65" spans="1:17" x14ac:dyDescent="0.35">
      <c r="A65" s="4">
        <v>14</v>
      </c>
      <c r="B65" s="5">
        <f t="shared" si="0"/>
        <v>73</v>
      </c>
      <c r="C65" s="5">
        <f t="shared" si="1"/>
        <v>13</v>
      </c>
      <c r="D65" s="7" t="s">
        <v>51</v>
      </c>
      <c r="E65" s="1" t="s">
        <v>23</v>
      </c>
      <c r="F65" s="1">
        <v>581</v>
      </c>
      <c r="G65" s="1">
        <v>197</v>
      </c>
      <c r="H65" s="1">
        <f t="shared" si="9"/>
        <v>1576</v>
      </c>
      <c r="I65" s="1">
        <f t="shared" si="10"/>
        <v>468</v>
      </c>
      <c r="J65" s="1">
        <f t="shared" si="11"/>
        <v>283</v>
      </c>
      <c r="K65" s="1">
        <f t="shared" si="12"/>
        <v>194</v>
      </c>
      <c r="L65" s="1">
        <f t="shared" si="13"/>
        <v>120</v>
      </c>
      <c r="M65" s="1">
        <v>384</v>
      </c>
      <c r="N65" s="1">
        <v>0</v>
      </c>
      <c r="O65" s="1">
        <v>11</v>
      </c>
      <c r="P65" s="1">
        <v>5</v>
      </c>
      <c r="Q65" s="1" t="str">
        <f t="shared" si="14"/>
        <v>36,12,12;37,13,12</v>
      </c>
    </row>
    <row r="66" spans="1:17" x14ac:dyDescent="0.35">
      <c r="A66" s="4">
        <v>15</v>
      </c>
      <c r="B66" s="5">
        <f t="shared" ref="B66:B129" si="15">IF(A66&lt;0,11 + (4+A66)*2,21 + (A66-1)*4)</f>
        <v>77</v>
      </c>
      <c r="C66" s="5">
        <f t="shared" ref="C66:C129" si="16">IF(A66&lt;=1, 0,
IF(AND(A66&gt;1, A66&lt;7), 1,
IF(AND(A66&gt;=7, A66&lt;14), 6,
IF(AND(A66&gt;=14, A66&lt;21), 13,
IF(AND(A66&gt;=21, A66&lt;28), 22,
IF(AND(A66&gt;=28, A66&lt;35), 33,
IF(A66&gt;=35, 46, "")))))))</f>
        <v>13</v>
      </c>
      <c r="D66" s="7" t="s">
        <v>52</v>
      </c>
      <c r="E66" s="1" t="s">
        <v>27</v>
      </c>
      <c r="F66" s="1">
        <v>655</v>
      </c>
      <c r="G66" s="1">
        <v>523</v>
      </c>
      <c r="H66" s="1">
        <f t="shared" si="9"/>
        <v>4184</v>
      </c>
      <c r="I66" s="1">
        <f t="shared" si="10"/>
        <v>1250</v>
      </c>
      <c r="J66" s="1">
        <f t="shared" si="11"/>
        <v>758</v>
      </c>
      <c r="K66" s="1">
        <f t="shared" si="12"/>
        <v>520</v>
      </c>
      <c r="L66" s="1">
        <f t="shared" si="13"/>
        <v>320</v>
      </c>
      <c r="M66" s="1">
        <v>132</v>
      </c>
      <c r="N66" s="1">
        <v>0</v>
      </c>
      <c r="O66" s="1">
        <v>5</v>
      </c>
      <c r="P66" s="1">
        <v>1</v>
      </c>
      <c r="Q66" s="1" t="str">
        <f t="shared" si="14"/>
        <v>109,87,11;110,88,11</v>
      </c>
    </row>
    <row r="67" spans="1:17" x14ac:dyDescent="0.35">
      <c r="A67" s="4">
        <v>15</v>
      </c>
      <c r="B67" s="5">
        <f t="shared" si="15"/>
        <v>77</v>
      </c>
      <c r="C67" s="5">
        <f t="shared" si="16"/>
        <v>13</v>
      </c>
      <c r="D67" s="7" t="s">
        <v>52</v>
      </c>
      <c r="E67" s="1" t="s">
        <v>28</v>
      </c>
      <c r="F67" s="1">
        <v>655</v>
      </c>
      <c r="G67" s="1">
        <v>415</v>
      </c>
      <c r="H67" s="1">
        <f t="shared" ref="H67:H130" si="17">IF(A67&lt;-1,G67*8-4,G67*8)</f>
        <v>3320</v>
      </c>
      <c r="I67" s="1">
        <f t="shared" si="10"/>
        <v>991</v>
      </c>
      <c r="J67" s="1">
        <f t="shared" si="11"/>
        <v>600</v>
      </c>
      <c r="K67" s="1">
        <f t="shared" si="12"/>
        <v>412</v>
      </c>
      <c r="L67" s="1">
        <f t="shared" si="13"/>
        <v>254</v>
      </c>
      <c r="M67" s="1">
        <v>240</v>
      </c>
      <c r="N67" s="1">
        <v>0</v>
      </c>
      <c r="O67" s="1">
        <v>5</v>
      </c>
      <c r="P67" s="1">
        <v>5</v>
      </c>
      <c r="Q67" s="1" t="str">
        <f t="shared" si="14"/>
        <v>65,41,12;66,42,12</v>
      </c>
    </row>
    <row r="68" spans="1:17" x14ac:dyDescent="0.35">
      <c r="A68" s="4">
        <v>15</v>
      </c>
      <c r="B68" s="5">
        <f t="shared" si="15"/>
        <v>77</v>
      </c>
      <c r="C68" s="5">
        <f t="shared" si="16"/>
        <v>13</v>
      </c>
      <c r="D68" s="7" t="s">
        <v>52</v>
      </c>
      <c r="E68" s="1" t="s">
        <v>46</v>
      </c>
      <c r="F68" s="1">
        <v>655</v>
      </c>
      <c r="G68" s="1">
        <v>295</v>
      </c>
      <c r="H68" s="1">
        <f t="shared" si="17"/>
        <v>2360</v>
      </c>
      <c r="I68" s="1">
        <f t="shared" si="10"/>
        <v>703</v>
      </c>
      <c r="J68" s="1">
        <f t="shared" si="11"/>
        <v>426</v>
      </c>
      <c r="K68" s="1">
        <f t="shared" si="12"/>
        <v>292</v>
      </c>
      <c r="L68" s="1">
        <f t="shared" si="13"/>
        <v>180</v>
      </c>
      <c r="M68" s="1">
        <v>360</v>
      </c>
      <c r="N68" s="1">
        <v>0</v>
      </c>
      <c r="O68" s="1">
        <v>5</v>
      </c>
      <c r="P68" s="1">
        <v>7</v>
      </c>
      <c r="Q68" s="1" t="str">
        <f t="shared" si="14"/>
        <v>54,24,15;55,25,15</v>
      </c>
    </row>
    <row r="69" spans="1:17" x14ac:dyDescent="0.35">
      <c r="A69" s="4">
        <v>15</v>
      </c>
      <c r="B69" s="5">
        <f t="shared" si="15"/>
        <v>77</v>
      </c>
      <c r="C69" s="5">
        <f t="shared" si="16"/>
        <v>13</v>
      </c>
      <c r="D69" s="7" t="s">
        <v>52</v>
      </c>
      <c r="E69" s="1" t="s">
        <v>23</v>
      </c>
      <c r="F69" s="1">
        <v>655</v>
      </c>
      <c r="G69" s="1">
        <v>223</v>
      </c>
      <c r="H69" s="1">
        <f t="shared" si="17"/>
        <v>1784</v>
      </c>
      <c r="I69" s="1">
        <f t="shared" si="10"/>
        <v>530</v>
      </c>
      <c r="J69" s="1">
        <f t="shared" si="11"/>
        <v>321</v>
      </c>
      <c r="K69" s="1">
        <f t="shared" si="12"/>
        <v>220</v>
      </c>
      <c r="L69" s="1">
        <f t="shared" si="13"/>
        <v>136</v>
      </c>
      <c r="M69" s="1">
        <v>432</v>
      </c>
      <c r="N69" s="1">
        <v>0</v>
      </c>
      <c r="O69" s="1">
        <v>11</v>
      </c>
      <c r="P69" s="1">
        <v>7</v>
      </c>
      <c r="Q69" s="1" t="str">
        <f t="shared" si="14"/>
        <v>36,12,12;37,13,12</v>
      </c>
    </row>
    <row r="70" spans="1:17" x14ac:dyDescent="0.35">
      <c r="A70" s="4">
        <v>16</v>
      </c>
      <c r="B70" s="5">
        <f t="shared" si="15"/>
        <v>81</v>
      </c>
      <c r="C70" s="5">
        <f t="shared" si="16"/>
        <v>13</v>
      </c>
      <c r="D70" s="7" t="s">
        <v>53</v>
      </c>
      <c r="E70" s="1" t="s">
        <v>27</v>
      </c>
      <c r="F70" s="1">
        <v>733</v>
      </c>
      <c r="G70" s="1">
        <v>589</v>
      </c>
      <c r="H70" s="1">
        <f t="shared" si="17"/>
        <v>4712</v>
      </c>
      <c r="I70" s="1">
        <f t="shared" si="10"/>
        <v>1408</v>
      </c>
      <c r="J70" s="1">
        <f t="shared" si="11"/>
        <v>854</v>
      </c>
      <c r="K70" s="1">
        <f t="shared" si="12"/>
        <v>586</v>
      </c>
      <c r="L70" s="1">
        <f t="shared" si="13"/>
        <v>361</v>
      </c>
      <c r="M70" s="1">
        <v>144</v>
      </c>
      <c r="N70" s="1">
        <v>0</v>
      </c>
      <c r="O70" s="1">
        <v>5</v>
      </c>
      <c r="P70" s="1">
        <v>1</v>
      </c>
      <c r="Q70" s="1" t="str">
        <f t="shared" si="14"/>
        <v>122,98,12;123,99,12</v>
      </c>
    </row>
    <row r="71" spans="1:17" x14ac:dyDescent="0.35">
      <c r="A71" s="4">
        <v>16</v>
      </c>
      <c r="B71" s="5">
        <f t="shared" si="15"/>
        <v>81</v>
      </c>
      <c r="C71" s="5">
        <f t="shared" si="16"/>
        <v>13</v>
      </c>
      <c r="D71" s="7" t="s">
        <v>53</v>
      </c>
      <c r="E71" s="1" t="s">
        <v>28</v>
      </c>
      <c r="F71" s="1">
        <v>733</v>
      </c>
      <c r="G71" s="1">
        <v>453</v>
      </c>
      <c r="H71" s="1">
        <f t="shared" si="17"/>
        <v>3624</v>
      </c>
      <c r="I71" s="1">
        <f t="shared" si="10"/>
        <v>1082</v>
      </c>
      <c r="J71" s="1">
        <f t="shared" si="11"/>
        <v>656</v>
      </c>
      <c r="K71" s="1">
        <f t="shared" si="12"/>
        <v>450</v>
      </c>
      <c r="L71" s="1">
        <f t="shared" si="13"/>
        <v>277</v>
      </c>
      <c r="M71" s="1">
        <v>280</v>
      </c>
      <c r="N71" s="1">
        <v>0</v>
      </c>
      <c r="O71" s="1">
        <v>7</v>
      </c>
      <c r="P71" s="1">
        <v>3</v>
      </c>
      <c r="Q71" s="1" t="str">
        <f t="shared" si="14"/>
        <v>73,45,14;74,46,14</v>
      </c>
    </row>
    <row r="72" spans="1:17" x14ac:dyDescent="0.35">
      <c r="A72" s="4">
        <v>16</v>
      </c>
      <c r="B72" s="5">
        <f t="shared" si="15"/>
        <v>81</v>
      </c>
      <c r="C72" s="5">
        <f t="shared" si="16"/>
        <v>13</v>
      </c>
      <c r="D72" s="7" t="s">
        <v>53</v>
      </c>
      <c r="E72" s="1" t="s">
        <v>46</v>
      </c>
      <c r="F72" s="1">
        <v>733</v>
      </c>
      <c r="G72" s="1">
        <v>325</v>
      </c>
      <c r="H72" s="1">
        <f t="shared" si="17"/>
        <v>2600</v>
      </c>
      <c r="I72" s="1">
        <f t="shared" si="10"/>
        <v>775</v>
      </c>
      <c r="J72" s="1">
        <f t="shared" si="11"/>
        <v>470</v>
      </c>
      <c r="K72" s="1">
        <f t="shared" si="12"/>
        <v>322</v>
      </c>
      <c r="L72" s="1">
        <f t="shared" si="13"/>
        <v>198</v>
      </c>
      <c r="M72" s="1">
        <v>408</v>
      </c>
      <c r="N72" s="1">
        <v>0</v>
      </c>
      <c r="O72" s="1">
        <v>15</v>
      </c>
      <c r="P72" s="1">
        <v>2</v>
      </c>
      <c r="Q72" s="1" t="str">
        <f t="shared" si="14"/>
        <v>43,19,12;44,20,12</v>
      </c>
    </row>
    <row r="73" spans="1:17" x14ac:dyDescent="0.35">
      <c r="A73" s="4">
        <v>16</v>
      </c>
      <c r="B73" s="5">
        <f t="shared" si="15"/>
        <v>81</v>
      </c>
      <c r="C73" s="5">
        <f t="shared" si="16"/>
        <v>13</v>
      </c>
      <c r="D73" s="7" t="s">
        <v>53</v>
      </c>
      <c r="E73" s="1" t="s">
        <v>23</v>
      </c>
      <c r="F73" s="1">
        <v>733</v>
      </c>
      <c r="G73" s="1">
        <v>253</v>
      </c>
      <c r="H73" s="1">
        <f t="shared" si="17"/>
        <v>2024</v>
      </c>
      <c r="I73" s="1">
        <f t="shared" si="10"/>
        <v>602</v>
      </c>
      <c r="J73" s="1">
        <f t="shared" si="11"/>
        <v>365</v>
      </c>
      <c r="K73" s="1">
        <f t="shared" si="12"/>
        <v>250</v>
      </c>
      <c r="L73" s="1">
        <f t="shared" si="13"/>
        <v>154</v>
      </c>
      <c r="M73" s="1">
        <v>480</v>
      </c>
      <c r="N73" s="1">
        <v>0</v>
      </c>
      <c r="O73" s="1">
        <v>3</v>
      </c>
      <c r="P73" s="1">
        <v>13</v>
      </c>
      <c r="Q73" s="1" t="str">
        <f t="shared" si="14"/>
        <v>45,15,15;46,16,15</v>
      </c>
    </row>
    <row r="74" spans="1:17" x14ac:dyDescent="0.35">
      <c r="A74" s="4">
        <v>17</v>
      </c>
      <c r="B74" s="5">
        <f t="shared" si="15"/>
        <v>85</v>
      </c>
      <c r="C74" s="5">
        <f t="shared" si="16"/>
        <v>13</v>
      </c>
      <c r="D74" s="7" t="s">
        <v>54</v>
      </c>
      <c r="E74" s="1" t="s">
        <v>27</v>
      </c>
      <c r="F74" s="1">
        <v>815</v>
      </c>
      <c r="G74" s="1">
        <v>647</v>
      </c>
      <c r="H74" s="1">
        <f t="shared" si="17"/>
        <v>5176</v>
      </c>
      <c r="I74" s="1">
        <f t="shared" ref="I74:I105" si="18">QUOTIENT(H74-4-IF(A74&lt;=9,10,IF(AND(A74&gt;9,A74&lt;=26),12,IF(AND(A74&gt;26,A74&lt;=40),14))),10)*3+
IF(MOD(H74-4-IF(A74&lt;=9,10,IF(AND(A74&gt;9,A74&lt;=26),12,IF(AND(A74&gt;26,A74&lt;=40),14))),10)&gt;=7,2,IF(MOD(H74-4-IF(A74&lt;=9,10,IF(AND(A74&gt;9,A74&lt;=26),12,IF(AND(A74&gt;26,A74&lt;=40),14))),10)&lt;4,0,1))</f>
        <v>1548</v>
      </c>
      <c r="J74" s="1">
        <f t="shared" ref="J74:J105" si="19">QUOTIENT(H74-4-IF(A74&lt;=9,9,IF(AND(A74&gt;9,A74&lt;=26),11,IF(AND(A74&gt;26,A74&lt;=40),13))),11)*2+
IF(MOD(H74-4-IF(A74&lt;=9,9,IF(AND(A74&gt;9,A74&lt;=26),11,IF(AND(A74&gt;26,A74&lt;=40),13))),11)&gt;=6,1,0)</f>
        <v>938</v>
      </c>
      <c r="K74" s="1">
        <f t="shared" ref="K74:K105" si="20">QUOTIENT(H74-4-IF(A74&lt;=9,8,IF(AND(A74&gt;9,A74&lt;=26),16,IF(AND(A74&gt;26,A74&lt;=40),16))),8)</f>
        <v>644</v>
      </c>
      <c r="L74" s="1">
        <f t="shared" ref="L74:L105" si="21">QUOTIENT(H74-4-IF(A74&lt;=9,8,IF(AND(A74&gt;9,A74&lt;=26),10,IF(AND(A74&gt;26,A74&lt;=40),12))),13)</f>
        <v>397</v>
      </c>
      <c r="M74" s="1">
        <v>168</v>
      </c>
      <c r="N74" s="1">
        <v>0</v>
      </c>
      <c r="O74" s="1">
        <v>1</v>
      </c>
      <c r="P74" s="1">
        <v>5</v>
      </c>
      <c r="Q74" s="1" t="str">
        <f t="shared" ref="Q74:Q105" si="22">IF(P74=0,
(M74+G74)/O74&amp;","&amp;(G74/O74)&amp;","&amp;IF(N74&lt;2,_xlfn.FLOOR.MATH(((M74+G74)/O74-G74/O74)/2),_xlfn.FLOOR.MATH(((M74+G74)/O74-G74/O74)/2)-1),
_xlfn.FLOOR.MATH((M74+G74)/(O74+P74))&amp;","&amp;_xlfn.FLOOR.MATH((G74/(O74+P74)))&amp;","&amp;IF(N74&lt;2,_xlfn.FLOOR.MATH(((M74+G74)/(O74+P74)-G74/(O74+P74))/2),_xlfn.FLOOR.MATH(((M74+G74)/(O74+P74)-G74/(O74+P74))/2)-1)&amp;";"&amp;
_xlfn.CEILING.MATH((M74+G74)/(O74+P74))&amp;","&amp;_xlfn.CEILING.MATH((G74/(O74+P74)))&amp;","&amp;IF(N74&lt;2,_xlfn.CEILING.MATH(((M74+G74)/(O74+P74)-G74/(O74+P74))/2),_xlfn.CEILING.MATH(((M74+G74)/(O74+P74)-G74/(O74+P74))/2)-1))</f>
        <v>135,107,14;136,108,14</v>
      </c>
    </row>
    <row r="75" spans="1:17" x14ac:dyDescent="0.35">
      <c r="A75" s="4">
        <v>17</v>
      </c>
      <c r="B75" s="5">
        <f t="shared" si="15"/>
        <v>85</v>
      </c>
      <c r="C75" s="5">
        <f t="shared" si="16"/>
        <v>13</v>
      </c>
      <c r="D75" s="7" t="s">
        <v>54</v>
      </c>
      <c r="E75" s="1" t="s">
        <v>28</v>
      </c>
      <c r="F75" s="1">
        <v>815</v>
      </c>
      <c r="G75" s="1">
        <v>507</v>
      </c>
      <c r="H75" s="1">
        <f t="shared" si="17"/>
        <v>4056</v>
      </c>
      <c r="I75" s="1">
        <f t="shared" si="18"/>
        <v>1212</v>
      </c>
      <c r="J75" s="1">
        <f t="shared" si="19"/>
        <v>734</v>
      </c>
      <c r="K75" s="1">
        <f t="shared" si="20"/>
        <v>504</v>
      </c>
      <c r="L75" s="1">
        <f t="shared" si="21"/>
        <v>310</v>
      </c>
      <c r="M75" s="1">
        <v>308</v>
      </c>
      <c r="N75" s="1">
        <v>0</v>
      </c>
      <c r="O75" s="1">
        <v>10</v>
      </c>
      <c r="P75" s="1">
        <v>1</v>
      </c>
      <c r="Q75" s="1" t="str">
        <f t="shared" si="22"/>
        <v>74,46,14;75,47,14</v>
      </c>
    </row>
    <row r="76" spans="1:17" x14ac:dyDescent="0.35">
      <c r="A76" s="4">
        <v>17</v>
      </c>
      <c r="B76" s="5">
        <f t="shared" si="15"/>
        <v>85</v>
      </c>
      <c r="C76" s="5">
        <f t="shared" si="16"/>
        <v>13</v>
      </c>
      <c r="D76" s="7" t="s">
        <v>54</v>
      </c>
      <c r="E76" s="1" t="s">
        <v>46</v>
      </c>
      <c r="F76" s="1">
        <v>815</v>
      </c>
      <c r="G76" s="1">
        <v>367</v>
      </c>
      <c r="H76" s="1">
        <f t="shared" si="17"/>
        <v>2936</v>
      </c>
      <c r="I76" s="1">
        <f t="shared" si="18"/>
        <v>876</v>
      </c>
      <c r="J76" s="1">
        <f t="shared" si="19"/>
        <v>531</v>
      </c>
      <c r="K76" s="1">
        <f t="shared" si="20"/>
        <v>364</v>
      </c>
      <c r="L76" s="1">
        <f t="shared" si="21"/>
        <v>224</v>
      </c>
      <c r="M76" s="1">
        <v>448</v>
      </c>
      <c r="N76" s="1">
        <v>0</v>
      </c>
      <c r="O76" s="1">
        <v>1</v>
      </c>
      <c r="P76" s="1">
        <v>15</v>
      </c>
      <c r="Q76" s="1" t="str">
        <f t="shared" si="22"/>
        <v>50,22,14;51,23,14</v>
      </c>
    </row>
    <row r="77" spans="1:17" x14ac:dyDescent="0.35">
      <c r="A77" s="4">
        <v>17</v>
      </c>
      <c r="B77" s="5">
        <f t="shared" si="15"/>
        <v>85</v>
      </c>
      <c r="C77" s="5">
        <f t="shared" si="16"/>
        <v>13</v>
      </c>
      <c r="D77" s="7" t="s">
        <v>54</v>
      </c>
      <c r="E77" s="1" t="s">
        <v>23</v>
      </c>
      <c r="F77" s="1">
        <v>815</v>
      </c>
      <c r="G77" s="1">
        <v>283</v>
      </c>
      <c r="H77" s="1">
        <f t="shared" si="17"/>
        <v>2264</v>
      </c>
      <c r="I77" s="1">
        <f t="shared" si="18"/>
        <v>674</v>
      </c>
      <c r="J77" s="1">
        <f t="shared" si="19"/>
        <v>408</v>
      </c>
      <c r="K77" s="1">
        <f t="shared" si="20"/>
        <v>280</v>
      </c>
      <c r="L77" s="1">
        <f t="shared" si="21"/>
        <v>173</v>
      </c>
      <c r="M77" s="1">
        <v>532</v>
      </c>
      <c r="N77" s="1">
        <v>0</v>
      </c>
      <c r="O77" s="1">
        <v>2</v>
      </c>
      <c r="P77" s="1">
        <v>17</v>
      </c>
      <c r="Q77" s="1" t="str">
        <f t="shared" si="22"/>
        <v>42,14,14;43,15,14</v>
      </c>
    </row>
    <row r="78" spans="1:17" x14ac:dyDescent="0.35">
      <c r="A78" s="4">
        <v>18</v>
      </c>
      <c r="B78" s="5">
        <f t="shared" si="15"/>
        <v>89</v>
      </c>
      <c r="C78" s="5">
        <f t="shared" si="16"/>
        <v>13</v>
      </c>
      <c r="D78" s="7" t="s">
        <v>55</v>
      </c>
      <c r="E78" s="1" t="s">
        <v>27</v>
      </c>
      <c r="F78" s="1">
        <v>901</v>
      </c>
      <c r="G78" s="1">
        <v>721</v>
      </c>
      <c r="H78" s="1">
        <f t="shared" si="17"/>
        <v>5768</v>
      </c>
      <c r="I78" s="1">
        <f t="shared" si="18"/>
        <v>1725</v>
      </c>
      <c r="J78" s="1">
        <f t="shared" si="19"/>
        <v>1046</v>
      </c>
      <c r="K78" s="1">
        <f t="shared" si="20"/>
        <v>718</v>
      </c>
      <c r="L78" s="1">
        <f t="shared" si="21"/>
        <v>442</v>
      </c>
      <c r="M78" s="1">
        <v>180</v>
      </c>
      <c r="N78" s="1">
        <v>0</v>
      </c>
      <c r="O78" s="1">
        <v>5</v>
      </c>
      <c r="P78" s="1">
        <v>1</v>
      </c>
      <c r="Q78" s="1" t="str">
        <f t="shared" si="22"/>
        <v>150,120,15;151,121,15</v>
      </c>
    </row>
    <row r="79" spans="1:17" x14ac:dyDescent="0.35">
      <c r="A79" s="4">
        <v>18</v>
      </c>
      <c r="B79" s="5">
        <f t="shared" si="15"/>
        <v>89</v>
      </c>
      <c r="C79" s="5">
        <f t="shared" si="16"/>
        <v>13</v>
      </c>
      <c r="D79" s="7" t="s">
        <v>55</v>
      </c>
      <c r="E79" s="1" t="s">
        <v>28</v>
      </c>
      <c r="F79" s="1">
        <v>901</v>
      </c>
      <c r="G79" s="1">
        <v>563</v>
      </c>
      <c r="H79" s="1">
        <f t="shared" si="17"/>
        <v>4504</v>
      </c>
      <c r="I79" s="1">
        <f t="shared" si="18"/>
        <v>1346</v>
      </c>
      <c r="J79" s="1">
        <f t="shared" si="19"/>
        <v>816</v>
      </c>
      <c r="K79" s="1">
        <f t="shared" si="20"/>
        <v>560</v>
      </c>
      <c r="L79" s="1">
        <f t="shared" si="21"/>
        <v>345</v>
      </c>
      <c r="M79" s="1">
        <v>338</v>
      </c>
      <c r="N79" s="1">
        <v>0</v>
      </c>
      <c r="O79" s="1">
        <v>9</v>
      </c>
      <c r="P79" s="1">
        <v>4</v>
      </c>
      <c r="Q79" s="1" t="str">
        <f t="shared" si="22"/>
        <v>69,43,13;70,44,13</v>
      </c>
    </row>
    <row r="80" spans="1:17" x14ac:dyDescent="0.35">
      <c r="A80" s="4">
        <v>18</v>
      </c>
      <c r="B80" s="5">
        <f t="shared" si="15"/>
        <v>89</v>
      </c>
      <c r="C80" s="5">
        <f t="shared" si="16"/>
        <v>13</v>
      </c>
      <c r="D80" s="7" t="s">
        <v>55</v>
      </c>
      <c r="E80" s="1" t="s">
        <v>46</v>
      </c>
      <c r="F80" s="1">
        <v>901</v>
      </c>
      <c r="G80" s="1">
        <v>397</v>
      </c>
      <c r="H80" s="1">
        <f t="shared" si="17"/>
        <v>3176</v>
      </c>
      <c r="I80" s="1">
        <f t="shared" si="18"/>
        <v>948</v>
      </c>
      <c r="J80" s="1">
        <f t="shared" si="19"/>
        <v>574</v>
      </c>
      <c r="K80" s="1">
        <f t="shared" si="20"/>
        <v>394</v>
      </c>
      <c r="L80" s="1">
        <f t="shared" si="21"/>
        <v>243</v>
      </c>
      <c r="M80" s="1">
        <v>504</v>
      </c>
      <c r="N80" s="1">
        <v>0</v>
      </c>
      <c r="O80" s="1">
        <v>17</v>
      </c>
      <c r="P80" s="1">
        <v>1</v>
      </c>
      <c r="Q80" s="1" t="str">
        <f t="shared" si="22"/>
        <v>50,22,14;51,23,14</v>
      </c>
    </row>
    <row r="81" spans="1:17" x14ac:dyDescent="0.35">
      <c r="A81" s="4">
        <v>18</v>
      </c>
      <c r="B81" s="5">
        <f t="shared" si="15"/>
        <v>89</v>
      </c>
      <c r="C81" s="5">
        <f t="shared" si="16"/>
        <v>13</v>
      </c>
      <c r="D81" s="7" t="s">
        <v>55</v>
      </c>
      <c r="E81" s="1" t="s">
        <v>23</v>
      </c>
      <c r="F81" s="1">
        <v>901</v>
      </c>
      <c r="G81" s="1">
        <v>313</v>
      </c>
      <c r="H81" s="1">
        <f t="shared" si="17"/>
        <v>2504</v>
      </c>
      <c r="I81" s="1">
        <f t="shared" si="18"/>
        <v>746</v>
      </c>
      <c r="J81" s="1">
        <f t="shared" si="19"/>
        <v>452</v>
      </c>
      <c r="K81" s="1">
        <f t="shared" si="20"/>
        <v>310</v>
      </c>
      <c r="L81" s="1">
        <f t="shared" si="21"/>
        <v>191</v>
      </c>
      <c r="M81" s="1">
        <v>588</v>
      </c>
      <c r="N81" s="1">
        <v>0</v>
      </c>
      <c r="O81" s="1">
        <v>2</v>
      </c>
      <c r="P81" s="1">
        <v>19</v>
      </c>
      <c r="Q81" s="1" t="str">
        <f t="shared" si="22"/>
        <v>42,14,14;43,15,14</v>
      </c>
    </row>
    <row r="82" spans="1:17" x14ac:dyDescent="0.35">
      <c r="A82" s="4">
        <v>19</v>
      </c>
      <c r="B82" s="5">
        <f t="shared" si="15"/>
        <v>93</v>
      </c>
      <c r="C82" s="5">
        <f t="shared" si="16"/>
        <v>13</v>
      </c>
      <c r="D82" s="7" t="s">
        <v>56</v>
      </c>
      <c r="E82" s="1" t="s">
        <v>27</v>
      </c>
      <c r="F82" s="1">
        <v>991</v>
      </c>
      <c r="G82" s="1">
        <v>795</v>
      </c>
      <c r="H82" s="1">
        <f t="shared" si="17"/>
        <v>6360</v>
      </c>
      <c r="I82" s="1">
        <f t="shared" si="18"/>
        <v>1903</v>
      </c>
      <c r="J82" s="1">
        <f t="shared" si="19"/>
        <v>1153</v>
      </c>
      <c r="K82" s="1">
        <f t="shared" si="20"/>
        <v>792</v>
      </c>
      <c r="L82" s="1">
        <f t="shared" si="21"/>
        <v>488</v>
      </c>
      <c r="M82" s="1">
        <v>196</v>
      </c>
      <c r="N82" s="1">
        <v>0</v>
      </c>
      <c r="O82" s="1">
        <v>3</v>
      </c>
      <c r="P82" s="1">
        <v>4</v>
      </c>
      <c r="Q82" s="1" t="str">
        <f t="shared" si="22"/>
        <v>141,113,14;142,114,14</v>
      </c>
    </row>
    <row r="83" spans="1:17" x14ac:dyDescent="0.35">
      <c r="A83" s="4">
        <v>19</v>
      </c>
      <c r="B83" s="5">
        <f t="shared" si="15"/>
        <v>93</v>
      </c>
      <c r="C83" s="5">
        <f t="shared" si="16"/>
        <v>13</v>
      </c>
      <c r="D83" s="7" t="s">
        <v>56</v>
      </c>
      <c r="E83" s="1" t="s">
        <v>28</v>
      </c>
      <c r="F83" s="1">
        <v>991</v>
      </c>
      <c r="G83" s="1">
        <v>627</v>
      </c>
      <c r="H83" s="1">
        <f t="shared" si="17"/>
        <v>5016</v>
      </c>
      <c r="I83" s="1">
        <f t="shared" si="18"/>
        <v>1500</v>
      </c>
      <c r="J83" s="1">
        <f t="shared" si="19"/>
        <v>909</v>
      </c>
      <c r="K83" s="1">
        <f t="shared" si="20"/>
        <v>624</v>
      </c>
      <c r="L83" s="1">
        <f t="shared" si="21"/>
        <v>384</v>
      </c>
      <c r="M83" s="1">
        <v>364</v>
      </c>
      <c r="N83" s="1">
        <v>0</v>
      </c>
      <c r="O83" s="1">
        <v>3</v>
      </c>
      <c r="P83" s="1">
        <v>11</v>
      </c>
      <c r="Q83" s="1" t="str">
        <f t="shared" si="22"/>
        <v>70,44,13;71,45,13</v>
      </c>
    </row>
    <row r="84" spans="1:17" x14ac:dyDescent="0.35">
      <c r="A84" s="4">
        <v>19</v>
      </c>
      <c r="B84" s="5">
        <f t="shared" si="15"/>
        <v>93</v>
      </c>
      <c r="C84" s="5">
        <f t="shared" si="16"/>
        <v>13</v>
      </c>
      <c r="D84" s="7" t="s">
        <v>56</v>
      </c>
      <c r="E84" s="1" t="s">
        <v>46</v>
      </c>
      <c r="F84" s="1">
        <v>991</v>
      </c>
      <c r="G84" s="1">
        <v>445</v>
      </c>
      <c r="H84" s="1">
        <f t="shared" si="17"/>
        <v>3560</v>
      </c>
      <c r="I84" s="1">
        <f t="shared" si="18"/>
        <v>1063</v>
      </c>
      <c r="J84" s="1">
        <f t="shared" si="19"/>
        <v>644</v>
      </c>
      <c r="K84" s="1">
        <f t="shared" si="20"/>
        <v>442</v>
      </c>
      <c r="L84" s="1">
        <f t="shared" si="21"/>
        <v>272</v>
      </c>
      <c r="M84" s="1">
        <v>546</v>
      </c>
      <c r="N84" s="1">
        <v>0</v>
      </c>
      <c r="O84" s="1">
        <v>17</v>
      </c>
      <c r="P84" s="1">
        <v>4</v>
      </c>
      <c r="Q84" s="1" t="str">
        <f t="shared" si="22"/>
        <v>47,21,13;48,22,13</v>
      </c>
    </row>
    <row r="85" spans="1:17" x14ac:dyDescent="0.35">
      <c r="A85" s="4">
        <v>19</v>
      </c>
      <c r="B85" s="5">
        <f t="shared" si="15"/>
        <v>93</v>
      </c>
      <c r="C85" s="5">
        <f t="shared" si="16"/>
        <v>13</v>
      </c>
      <c r="D85" s="7" t="s">
        <v>56</v>
      </c>
      <c r="E85" s="1" t="s">
        <v>23</v>
      </c>
      <c r="F85" s="1">
        <v>991</v>
      </c>
      <c r="G85" s="1">
        <v>341</v>
      </c>
      <c r="H85" s="1">
        <f t="shared" si="17"/>
        <v>2728</v>
      </c>
      <c r="I85" s="1">
        <f t="shared" si="18"/>
        <v>813</v>
      </c>
      <c r="J85" s="1">
        <f t="shared" si="19"/>
        <v>493</v>
      </c>
      <c r="K85" s="1">
        <f t="shared" si="20"/>
        <v>338</v>
      </c>
      <c r="L85" s="1">
        <f t="shared" si="21"/>
        <v>208</v>
      </c>
      <c r="M85" s="1">
        <v>650</v>
      </c>
      <c r="N85" s="1">
        <v>0</v>
      </c>
      <c r="O85" s="1">
        <v>9</v>
      </c>
      <c r="P85" s="1">
        <v>16</v>
      </c>
      <c r="Q85" s="1" t="str">
        <f t="shared" si="22"/>
        <v>39,13,13;40,14,13</v>
      </c>
    </row>
    <row r="86" spans="1:17" x14ac:dyDescent="0.35">
      <c r="A86" s="4">
        <v>20</v>
      </c>
      <c r="B86" s="5">
        <f t="shared" si="15"/>
        <v>97</v>
      </c>
      <c r="C86" s="5">
        <f t="shared" si="16"/>
        <v>13</v>
      </c>
      <c r="D86" s="7" t="s">
        <v>57</v>
      </c>
      <c r="E86" s="1" t="s">
        <v>27</v>
      </c>
      <c r="F86" s="1">
        <v>1085</v>
      </c>
      <c r="G86" s="1">
        <v>861</v>
      </c>
      <c r="H86" s="1">
        <f t="shared" si="17"/>
        <v>6888</v>
      </c>
      <c r="I86" s="1">
        <f t="shared" si="18"/>
        <v>2061</v>
      </c>
      <c r="J86" s="1">
        <f t="shared" si="19"/>
        <v>1249</v>
      </c>
      <c r="K86" s="1">
        <f t="shared" si="20"/>
        <v>858</v>
      </c>
      <c r="L86" s="1">
        <f t="shared" si="21"/>
        <v>528</v>
      </c>
      <c r="M86" s="1">
        <v>224</v>
      </c>
      <c r="N86" s="1">
        <v>0</v>
      </c>
      <c r="O86" s="1">
        <v>3</v>
      </c>
      <c r="P86" s="1">
        <v>5</v>
      </c>
      <c r="Q86" s="1" t="str">
        <f t="shared" si="22"/>
        <v>135,107,14;136,108,14</v>
      </c>
    </row>
    <row r="87" spans="1:17" x14ac:dyDescent="0.35">
      <c r="A87" s="4">
        <v>20</v>
      </c>
      <c r="B87" s="5">
        <f t="shared" si="15"/>
        <v>97</v>
      </c>
      <c r="C87" s="5">
        <f t="shared" si="16"/>
        <v>13</v>
      </c>
      <c r="D87" s="7" t="s">
        <v>57</v>
      </c>
      <c r="E87" s="1" t="s">
        <v>28</v>
      </c>
      <c r="F87" s="1">
        <v>1085</v>
      </c>
      <c r="G87" s="1">
        <v>669</v>
      </c>
      <c r="H87" s="1">
        <f t="shared" si="17"/>
        <v>5352</v>
      </c>
      <c r="I87" s="1">
        <f t="shared" si="18"/>
        <v>1600</v>
      </c>
      <c r="J87" s="1">
        <f t="shared" si="19"/>
        <v>970</v>
      </c>
      <c r="K87" s="1">
        <f t="shared" si="20"/>
        <v>666</v>
      </c>
      <c r="L87" s="1">
        <f t="shared" si="21"/>
        <v>410</v>
      </c>
      <c r="M87" s="1">
        <v>416</v>
      </c>
      <c r="N87" s="1">
        <v>0</v>
      </c>
      <c r="O87" s="1">
        <v>3</v>
      </c>
      <c r="P87" s="1">
        <v>13</v>
      </c>
      <c r="Q87" s="1" t="str">
        <f t="shared" si="22"/>
        <v>67,41,13;68,42,13</v>
      </c>
    </row>
    <row r="88" spans="1:17" x14ac:dyDescent="0.35">
      <c r="A88" s="4">
        <v>20</v>
      </c>
      <c r="B88" s="5">
        <f t="shared" si="15"/>
        <v>97</v>
      </c>
      <c r="C88" s="5">
        <f t="shared" si="16"/>
        <v>13</v>
      </c>
      <c r="D88" s="7" t="s">
        <v>57</v>
      </c>
      <c r="E88" s="1" t="s">
        <v>46</v>
      </c>
      <c r="F88" s="1">
        <v>1085</v>
      </c>
      <c r="G88" s="1">
        <v>485</v>
      </c>
      <c r="H88" s="1">
        <f t="shared" si="17"/>
        <v>3880</v>
      </c>
      <c r="I88" s="1">
        <f t="shared" si="18"/>
        <v>1159</v>
      </c>
      <c r="J88" s="1">
        <f t="shared" si="19"/>
        <v>702</v>
      </c>
      <c r="K88" s="1">
        <f t="shared" si="20"/>
        <v>482</v>
      </c>
      <c r="L88" s="1">
        <f t="shared" si="21"/>
        <v>297</v>
      </c>
      <c r="M88" s="1">
        <v>600</v>
      </c>
      <c r="N88" s="1">
        <v>0</v>
      </c>
      <c r="O88" s="1">
        <v>15</v>
      </c>
      <c r="P88" s="1">
        <v>5</v>
      </c>
      <c r="Q88" s="1" t="str">
        <f t="shared" si="22"/>
        <v>54,24,15;55,25,15</v>
      </c>
    </row>
    <row r="89" spans="1:17" x14ac:dyDescent="0.35">
      <c r="A89" s="4">
        <v>20</v>
      </c>
      <c r="B89" s="5">
        <f t="shared" si="15"/>
        <v>97</v>
      </c>
      <c r="C89" s="5">
        <f t="shared" si="16"/>
        <v>13</v>
      </c>
      <c r="D89" s="7" t="s">
        <v>57</v>
      </c>
      <c r="E89" s="1" t="s">
        <v>23</v>
      </c>
      <c r="F89" s="1">
        <v>1085</v>
      </c>
      <c r="G89" s="1">
        <v>385</v>
      </c>
      <c r="H89" s="1">
        <f t="shared" si="17"/>
        <v>3080</v>
      </c>
      <c r="I89" s="1">
        <f t="shared" si="18"/>
        <v>919</v>
      </c>
      <c r="J89" s="1">
        <f t="shared" si="19"/>
        <v>557</v>
      </c>
      <c r="K89" s="1">
        <f t="shared" si="20"/>
        <v>382</v>
      </c>
      <c r="L89" s="1">
        <f t="shared" si="21"/>
        <v>235</v>
      </c>
      <c r="M89" s="1">
        <v>700</v>
      </c>
      <c r="N89" s="1">
        <v>0</v>
      </c>
      <c r="O89" s="1">
        <v>15</v>
      </c>
      <c r="P89" s="1">
        <v>10</v>
      </c>
      <c r="Q89" s="1" t="str">
        <f t="shared" si="22"/>
        <v>43,15,14;44,16,14</v>
      </c>
    </row>
    <row r="90" spans="1:17" x14ac:dyDescent="0.35">
      <c r="A90" s="4">
        <v>21</v>
      </c>
      <c r="B90" s="5">
        <f t="shared" si="15"/>
        <v>101</v>
      </c>
      <c r="C90" s="5">
        <f t="shared" si="16"/>
        <v>22</v>
      </c>
      <c r="D90" s="7" t="s">
        <v>58</v>
      </c>
      <c r="E90" s="1" t="s">
        <v>27</v>
      </c>
      <c r="F90" s="1">
        <v>1156</v>
      </c>
      <c r="G90" s="1">
        <v>932</v>
      </c>
      <c r="H90" s="1">
        <f t="shared" si="17"/>
        <v>7456</v>
      </c>
      <c r="I90" s="1">
        <f t="shared" si="18"/>
        <v>2232</v>
      </c>
      <c r="J90" s="1">
        <f t="shared" si="19"/>
        <v>1352</v>
      </c>
      <c r="K90" s="1">
        <f t="shared" si="20"/>
        <v>929</v>
      </c>
      <c r="L90" s="1">
        <f t="shared" si="21"/>
        <v>572</v>
      </c>
      <c r="M90" s="1">
        <v>224</v>
      </c>
      <c r="N90" s="1">
        <v>0</v>
      </c>
      <c r="O90" s="1">
        <v>4</v>
      </c>
      <c r="P90" s="1">
        <v>4</v>
      </c>
      <c r="Q90" s="1" t="str">
        <f t="shared" si="22"/>
        <v>144,116,14;145,117,14</v>
      </c>
    </row>
    <row r="91" spans="1:17" x14ac:dyDescent="0.35">
      <c r="A91" s="4">
        <v>21</v>
      </c>
      <c r="B91" s="5">
        <f t="shared" si="15"/>
        <v>101</v>
      </c>
      <c r="C91" s="5">
        <f t="shared" si="16"/>
        <v>22</v>
      </c>
      <c r="D91" s="7" t="s">
        <v>58</v>
      </c>
      <c r="E91" s="1" t="s">
        <v>28</v>
      </c>
      <c r="F91" s="1">
        <v>1156</v>
      </c>
      <c r="G91" s="1">
        <v>714</v>
      </c>
      <c r="H91" s="1">
        <f t="shared" si="17"/>
        <v>5712</v>
      </c>
      <c r="I91" s="1">
        <f t="shared" si="18"/>
        <v>1708</v>
      </c>
      <c r="J91" s="1">
        <f t="shared" si="19"/>
        <v>1035</v>
      </c>
      <c r="K91" s="1">
        <f t="shared" si="20"/>
        <v>711</v>
      </c>
      <c r="L91" s="1">
        <f t="shared" si="21"/>
        <v>438</v>
      </c>
      <c r="M91" s="1">
        <v>442</v>
      </c>
      <c r="N91" s="1">
        <v>0</v>
      </c>
      <c r="O91" s="1">
        <v>17</v>
      </c>
      <c r="P91" s="1">
        <v>0</v>
      </c>
      <c r="Q91" s="1" t="str">
        <f t="shared" si="22"/>
        <v>68,42,13</v>
      </c>
    </row>
    <row r="92" spans="1:17" x14ac:dyDescent="0.35">
      <c r="A92" s="4">
        <v>21</v>
      </c>
      <c r="B92" s="5">
        <f t="shared" si="15"/>
        <v>101</v>
      </c>
      <c r="C92" s="5">
        <f t="shared" si="16"/>
        <v>22</v>
      </c>
      <c r="D92" s="7" t="s">
        <v>58</v>
      </c>
      <c r="E92" s="1" t="s">
        <v>46</v>
      </c>
      <c r="F92" s="1">
        <v>1156</v>
      </c>
      <c r="G92" s="1">
        <v>512</v>
      </c>
      <c r="H92" s="1">
        <f t="shared" si="17"/>
        <v>4096</v>
      </c>
      <c r="I92" s="1">
        <f t="shared" si="18"/>
        <v>1224</v>
      </c>
      <c r="J92" s="1">
        <f t="shared" si="19"/>
        <v>742</v>
      </c>
      <c r="K92" s="1">
        <f t="shared" si="20"/>
        <v>509</v>
      </c>
      <c r="L92" s="1">
        <f t="shared" si="21"/>
        <v>314</v>
      </c>
      <c r="M92" s="1">
        <v>644</v>
      </c>
      <c r="N92" s="1">
        <v>0</v>
      </c>
      <c r="O92" s="1">
        <v>17</v>
      </c>
      <c r="P92" s="1">
        <v>6</v>
      </c>
      <c r="Q92" s="1" t="str">
        <f t="shared" si="22"/>
        <v>50,22,14;51,23,14</v>
      </c>
    </row>
    <row r="93" spans="1:17" x14ac:dyDescent="0.35">
      <c r="A93" s="4">
        <v>21</v>
      </c>
      <c r="B93" s="5">
        <f t="shared" si="15"/>
        <v>101</v>
      </c>
      <c r="C93" s="5">
        <f t="shared" si="16"/>
        <v>22</v>
      </c>
      <c r="D93" s="7" t="s">
        <v>58</v>
      </c>
      <c r="E93" s="1" t="s">
        <v>23</v>
      </c>
      <c r="F93" s="1">
        <v>1156</v>
      </c>
      <c r="G93" s="1">
        <v>406</v>
      </c>
      <c r="H93" s="1">
        <f t="shared" si="17"/>
        <v>3248</v>
      </c>
      <c r="I93" s="1">
        <f t="shared" si="18"/>
        <v>969</v>
      </c>
      <c r="J93" s="1">
        <f t="shared" si="19"/>
        <v>587</v>
      </c>
      <c r="K93" s="1">
        <f t="shared" si="20"/>
        <v>403</v>
      </c>
      <c r="L93" s="1">
        <f t="shared" si="21"/>
        <v>248</v>
      </c>
      <c r="M93" s="1">
        <v>750</v>
      </c>
      <c r="N93" s="1">
        <v>0</v>
      </c>
      <c r="O93" s="1">
        <v>19</v>
      </c>
      <c r="P93" s="1">
        <v>6</v>
      </c>
      <c r="Q93" s="1" t="str">
        <f t="shared" si="22"/>
        <v>46,16,15;47,17,15</v>
      </c>
    </row>
    <row r="94" spans="1:17" x14ac:dyDescent="0.35">
      <c r="A94" s="4">
        <v>22</v>
      </c>
      <c r="B94" s="5">
        <f t="shared" si="15"/>
        <v>105</v>
      </c>
      <c r="C94" s="5">
        <f t="shared" si="16"/>
        <v>22</v>
      </c>
      <c r="D94" s="7" t="s">
        <v>59</v>
      </c>
      <c r="E94" s="1" t="s">
        <v>27</v>
      </c>
      <c r="F94" s="1">
        <v>1258</v>
      </c>
      <c r="G94" s="1">
        <v>1006</v>
      </c>
      <c r="H94" s="1">
        <f t="shared" si="17"/>
        <v>8048</v>
      </c>
      <c r="I94" s="1">
        <f t="shared" si="18"/>
        <v>2409</v>
      </c>
      <c r="J94" s="1">
        <f t="shared" si="19"/>
        <v>1460</v>
      </c>
      <c r="K94" s="1">
        <f t="shared" si="20"/>
        <v>1003</v>
      </c>
      <c r="L94" s="1">
        <f t="shared" si="21"/>
        <v>618</v>
      </c>
      <c r="M94" s="1">
        <v>252</v>
      </c>
      <c r="N94" s="1">
        <v>0</v>
      </c>
      <c r="O94" s="1">
        <v>2</v>
      </c>
      <c r="P94" s="1">
        <v>7</v>
      </c>
      <c r="Q94" s="1" t="str">
        <f t="shared" si="22"/>
        <v>139,111,14;140,112,14</v>
      </c>
    </row>
    <row r="95" spans="1:17" x14ac:dyDescent="0.35">
      <c r="A95" s="4">
        <v>22</v>
      </c>
      <c r="B95" s="5">
        <f t="shared" si="15"/>
        <v>105</v>
      </c>
      <c r="C95" s="5">
        <f t="shared" si="16"/>
        <v>22</v>
      </c>
      <c r="D95" s="7" t="s">
        <v>59</v>
      </c>
      <c r="E95" s="1" t="s">
        <v>28</v>
      </c>
      <c r="F95" s="1">
        <v>1258</v>
      </c>
      <c r="G95" s="1">
        <v>782</v>
      </c>
      <c r="H95" s="1">
        <f t="shared" si="17"/>
        <v>6256</v>
      </c>
      <c r="I95" s="1">
        <f t="shared" si="18"/>
        <v>1872</v>
      </c>
      <c r="J95" s="1">
        <f t="shared" si="19"/>
        <v>1134</v>
      </c>
      <c r="K95" s="1">
        <f t="shared" si="20"/>
        <v>779</v>
      </c>
      <c r="L95" s="1">
        <f t="shared" si="21"/>
        <v>480</v>
      </c>
      <c r="M95" s="1">
        <v>476</v>
      </c>
      <c r="N95" s="1">
        <v>0</v>
      </c>
      <c r="O95" s="1">
        <v>17</v>
      </c>
      <c r="P95" s="1">
        <v>0</v>
      </c>
      <c r="Q95" s="1" t="str">
        <f t="shared" si="22"/>
        <v>74,46,14</v>
      </c>
    </row>
    <row r="96" spans="1:17" x14ac:dyDescent="0.35">
      <c r="A96" s="4">
        <v>22</v>
      </c>
      <c r="B96" s="5">
        <f t="shared" si="15"/>
        <v>105</v>
      </c>
      <c r="C96" s="5">
        <f t="shared" si="16"/>
        <v>22</v>
      </c>
      <c r="D96" s="7" t="s">
        <v>59</v>
      </c>
      <c r="E96" s="1" t="s">
        <v>46</v>
      </c>
      <c r="F96" s="1">
        <v>1258</v>
      </c>
      <c r="G96" s="1">
        <v>568</v>
      </c>
      <c r="H96" s="1">
        <f t="shared" si="17"/>
        <v>4544</v>
      </c>
      <c r="I96" s="1">
        <f t="shared" si="18"/>
        <v>1358</v>
      </c>
      <c r="J96" s="1">
        <f t="shared" si="19"/>
        <v>823</v>
      </c>
      <c r="K96" s="1">
        <f t="shared" si="20"/>
        <v>565</v>
      </c>
      <c r="L96" s="1">
        <f t="shared" si="21"/>
        <v>348</v>
      </c>
      <c r="M96" s="1">
        <v>690</v>
      </c>
      <c r="N96" s="1">
        <v>0</v>
      </c>
      <c r="O96" s="1">
        <v>7</v>
      </c>
      <c r="P96" s="1">
        <v>16</v>
      </c>
      <c r="Q96" s="1" t="str">
        <f t="shared" si="22"/>
        <v>54,24,15;55,25,15</v>
      </c>
    </row>
    <row r="97" spans="1:17" x14ac:dyDescent="0.35">
      <c r="A97" s="4">
        <v>22</v>
      </c>
      <c r="B97" s="5">
        <f t="shared" si="15"/>
        <v>105</v>
      </c>
      <c r="C97" s="5">
        <f t="shared" si="16"/>
        <v>22</v>
      </c>
      <c r="D97" s="7" t="s">
        <v>59</v>
      </c>
      <c r="E97" s="1" t="s">
        <v>23</v>
      </c>
      <c r="F97" s="1">
        <v>1258</v>
      </c>
      <c r="G97" s="1">
        <v>442</v>
      </c>
      <c r="H97" s="1">
        <f t="shared" si="17"/>
        <v>3536</v>
      </c>
      <c r="I97" s="1">
        <f t="shared" si="18"/>
        <v>1056</v>
      </c>
      <c r="J97" s="1">
        <f t="shared" si="19"/>
        <v>640</v>
      </c>
      <c r="K97" s="1">
        <f t="shared" si="20"/>
        <v>439</v>
      </c>
      <c r="L97" s="1">
        <f t="shared" si="21"/>
        <v>270</v>
      </c>
      <c r="M97" s="1">
        <v>816</v>
      </c>
      <c r="N97" s="1">
        <v>0</v>
      </c>
      <c r="O97" s="1">
        <v>34</v>
      </c>
      <c r="P97" s="1">
        <v>0</v>
      </c>
      <c r="Q97" s="1" t="str">
        <f t="shared" si="22"/>
        <v>37,13,12</v>
      </c>
    </row>
    <row r="98" spans="1:17" x14ac:dyDescent="0.35">
      <c r="A98" s="4">
        <v>23</v>
      </c>
      <c r="B98" s="5">
        <f t="shared" si="15"/>
        <v>109</v>
      </c>
      <c r="C98" s="5">
        <f t="shared" si="16"/>
        <v>22</v>
      </c>
      <c r="D98" s="7" t="s">
        <v>60</v>
      </c>
      <c r="E98" s="1" t="s">
        <v>27</v>
      </c>
      <c r="F98" s="1">
        <v>1364</v>
      </c>
      <c r="G98" s="1">
        <v>1094</v>
      </c>
      <c r="H98" s="1">
        <f t="shared" si="17"/>
        <v>8752</v>
      </c>
      <c r="I98" s="1">
        <f t="shared" si="18"/>
        <v>2620</v>
      </c>
      <c r="J98" s="1">
        <f t="shared" si="19"/>
        <v>1588</v>
      </c>
      <c r="K98" s="1">
        <f t="shared" si="20"/>
        <v>1091</v>
      </c>
      <c r="L98" s="1">
        <f t="shared" si="21"/>
        <v>672</v>
      </c>
      <c r="M98" s="1">
        <v>270</v>
      </c>
      <c r="N98" s="1">
        <v>0</v>
      </c>
      <c r="O98" s="1">
        <v>4</v>
      </c>
      <c r="P98" s="1">
        <v>5</v>
      </c>
      <c r="Q98" s="1" t="str">
        <f t="shared" si="22"/>
        <v>151,121,15;152,122,15</v>
      </c>
    </row>
    <row r="99" spans="1:17" x14ac:dyDescent="0.35">
      <c r="A99" s="4">
        <v>23</v>
      </c>
      <c r="B99" s="5">
        <f t="shared" si="15"/>
        <v>109</v>
      </c>
      <c r="C99" s="5">
        <f t="shared" si="16"/>
        <v>22</v>
      </c>
      <c r="D99" s="7" t="s">
        <v>60</v>
      </c>
      <c r="E99" s="1" t="s">
        <v>28</v>
      </c>
      <c r="F99" s="1">
        <v>1364</v>
      </c>
      <c r="G99" s="1">
        <v>860</v>
      </c>
      <c r="H99" s="1">
        <f t="shared" si="17"/>
        <v>6880</v>
      </c>
      <c r="I99" s="1">
        <f t="shared" si="18"/>
        <v>2059</v>
      </c>
      <c r="J99" s="1">
        <f t="shared" si="19"/>
        <v>1248</v>
      </c>
      <c r="K99" s="1">
        <f t="shared" si="20"/>
        <v>857</v>
      </c>
      <c r="L99" s="1">
        <f t="shared" si="21"/>
        <v>528</v>
      </c>
      <c r="M99" s="1">
        <v>504</v>
      </c>
      <c r="N99" s="1">
        <v>0</v>
      </c>
      <c r="O99" s="1">
        <v>4</v>
      </c>
      <c r="P99" s="1">
        <v>14</v>
      </c>
      <c r="Q99" s="1" t="str">
        <f t="shared" si="22"/>
        <v>75,47,14;76,48,14</v>
      </c>
    </row>
    <row r="100" spans="1:17" x14ac:dyDescent="0.35">
      <c r="A100" s="4">
        <v>23</v>
      </c>
      <c r="B100" s="5">
        <f t="shared" si="15"/>
        <v>109</v>
      </c>
      <c r="C100" s="5">
        <f t="shared" si="16"/>
        <v>22</v>
      </c>
      <c r="D100" s="7" t="s">
        <v>60</v>
      </c>
      <c r="E100" s="1" t="s">
        <v>46</v>
      </c>
      <c r="F100" s="1">
        <v>1364</v>
      </c>
      <c r="G100" s="1">
        <v>614</v>
      </c>
      <c r="H100" s="1">
        <f t="shared" si="17"/>
        <v>4912</v>
      </c>
      <c r="I100" s="1">
        <f t="shared" si="18"/>
        <v>1468</v>
      </c>
      <c r="J100" s="1">
        <f t="shared" si="19"/>
        <v>890</v>
      </c>
      <c r="K100" s="1">
        <f t="shared" si="20"/>
        <v>611</v>
      </c>
      <c r="L100" s="1">
        <f t="shared" si="21"/>
        <v>376</v>
      </c>
      <c r="M100" s="1">
        <v>750</v>
      </c>
      <c r="N100" s="1">
        <v>0</v>
      </c>
      <c r="O100" s="1">
        <v>11</v>
      </c>
      <c r="P100" s="1">
        <v>14</v>
      </c>
      <c r="Q100" s="1" t="str">
        <f t="shared" si="22"/>
        <v>54,24,15;55,25,15</v>
      </c>
    </row>
    <row r="101" spans="1:17" x14ac:dyDescent="0.35">
      <c r="A101" s="4">
        <v>23</v>
      </c>
      <c r="B101" s="5">
        <f t="shared" si="15"/>
        <v>109</v>
      </c>
      <c r="C101" s="5">
        <f t="shared" si="16"/>
        <v>22</v>
      </c>
      <c r="D101" s="7" t="s">
        <v>60</v>
      </c>
      <c r="E101" s="1" t="s">
        <v>23</v>
      </c>
      <c r="F101" s="1">
        <v>1364</v>
      </c>
      <c r="G101" s="1">
        <v>464</v>
      </c>
      <c r="H101" s="1">
        <f t="shared" si="17"/>
        <v>3712</v>
      </c>
      <c r="I101" s="1">
        <f t="shared" si="18"/>
        <v>1108</v>
      </c>
      <c r="J101" s="1">
        <f t="shared" si="19"/>
        <v>672</v>
      </c>
      <c r="K101" s="1">
        <f t="shared" si="20"/>
        <v>461</v>
      </c>
      <c r="L101" s="1">
        <f t="shared" si="21"/>
        <v>284</v>
      </c>
      <c r="M101" s="1">
        <v>900</v>
      </c>
      <c r="N101" s="1">
        <v>0</v>
      </c>
      <c r="O101" s="1">
        <v>16</v>
      </c>
      <c r="P101" s="1">
        <v>14</v>
      </c>
      <c r="Q101" s="1" t="str">
        <f t="shared" si="22"/>
        <v>45,15,15;46,16,15</v>
      </c>
    </row>
    <row r="102" spans="1:17" x14ac:dyDescent="0.35">
      <c r="A102" s="4">
        <v>24</v>
      </c>
      <c r="B102" s="5">
        <f t="shared" si="15"/>
        <v>113</v>
      </c>
      <c r="C102" s="5">
        <f t="shared" si="16"/>
        <v>22</v>
      </c>
      <c r="D102" s="7" t="s">
        <v>61</v>
      </c>
      <c r="E102" s="1" t="s">
        <v>27</v>
      </c>
      <c r="F102" s="1">
        <v>1474</v>
      </c>
      <c r="G102" s="1">
        <v>1174</v>
      </c>
      <c r="H102" s="1">
        <f t="shared" si="17"/>
        <v>9392</v>
      </c>
      <c r="I102" s="1">
        <f t="shared" si="18"/>
        <v>2812</v>
      </c>
      <c r="J102" s="1">
        <f t="shared" si="19"/>
        <v>1704</v>
      </c>
      <c r="K102" s="1">
        <f t="shared" si="20"/>
        <v>1171</v>
      </c>
      <c r="L102" s="1">
        <f t="shared" si="21"/>
        <v>721</v>
      </c>
      <c r="M102" s="1">
        <v>300</v>
      </c>
      <c r="N102" s="1">
        <v>0</v>
      </c>
      <c r="O102" s="1">
        <v>6</v>
      </c>
      <c r="P102" s="1">
        <v>4</v>
      </c>
      <c r="Q102" s="1" t="str">
        <f t="shared" si="22"/>
        <v>147,117,15;148,118,15</v>
      </c>
    </row>
    <row r="103" spans="1:17" x14ac:dyDescent="0.35">
      <c r="A103" s="4">
        <v>24</v>
      </c>
      <c r="B103" s="5">
        <f t="shared" si="15"/>
        <v>113</v>
      </c>
      <c r="C103" s="5">
        <f t="shared" si="16"/>
        <v>22</v>
      </c>
      <c r="D103" s="7" t="s">
        <v>61</v>
      </c>
      <c r="E103" s="1" t="s">
        <v>28</v>
      </c>
      <c r="F103" s="1">
        <v>1474</v>
      </c>
      <c r="G103" s="1">
        <v>914</v>
      </c>
      <c r="H103" s="1">
        <f t="shared" si="17"/>
        <v>7312</v>
      </c>
      <c r="I103" s="1">
        <f t="shared" si="18"/>
        <v>2188</v>
      </c>
      <c r="J103" s="1">
        <f t="shared" si="19"/>
        <v>1326</v>
      </c>
      <c r="K103" s="1">
        <f t="shared" si="20"/>
        <v>911</v>
      </c>
      <c r="L103" s="1">
        <f t="shared" si="21"/>
        <v>561</v>
      </c>
      <c r="M103" s="1">
        <v>560</v>
      </c>
      <c r="N103" s="1">
        <v>0</v>
      </c>
      <c r="O103" s="1">
        <v>6</v>
      </c>
      <c r="P103" s="1">
        <v>14</v>
      </c>
      <c r="Q103" s="1" t="str">
        <f t="shared" si="22"/>
        <v>73,45,14;74,46,14</v>
      </c>
    </row>
    <row r="104" spans="1:17" x14ac:dyDescent="0.35">
      <c r="A104" s="4">
        <v>24</v>
      </c>
      <c r="B104" s="5">
        <f t="shared" si="15"/>
        <v>113</v>
      </c>
      <c r="C104" s="5">
        <f t="shared" si="16"/>
        <v>22</v>
      </c>
      <c r="D104" s="7" t="s">
        <v>61</v>
      </c>
      <c r="E104" s="1" t="s">
        <v>46</v>
      </c>
      <c r="F104" s="1">
        <v>1474</v>
      </c>
      <c r="G104" s="1">
        <v>664</v>
      </c>
      <c r="H104" s="1">
        <f t="shared" si="17"/>
        <v>5312</v>
      </c>
      <c r="I104" s="1">
        <f t="shared" si="18"/>
        <v>1588</v>
      </c>
      <c r="J104" s="1">
        <f t="shared" si="19"/>
        <v>963</v>
      </c>
      <c r="K104" s="1">
        <f t="shared" si="20"/>
        <v>661</v>
      </c>
      <c r="L104" s="1">
        <f t="shared" si="21"/>
        <v>407</v>
      </c>
      <c r="M104" s="1">
        <v>810</v>
      </c>
      <c r="N104" s="1">
        <v>0</v>
      </c>
      <c r="O104" s="1">
        <v>11</v>
      </c>
      <c r="P104" s="1">
        <v>16</v>
      </c>
      <c r="Q104" s="1" t="str">
        <f t="shared" si="22"/>
        <v>54,24,15;55,25,15</v>
      </c>
    </row>
    <row r="105" spans="1:17" x14ac:dyDescent="0.35">
      <c r="A105" s="4">
        <v>24</v>
      </c>
      <c r="B105" s="5">
        <f t="shared" si="15"/>
        <v>113</v>
      </c>
      <c r="C105" s="5">
        <f t="shared" si="16"/>
        <v>22</v>
      </c>
      <c r="D105" s="7" t="s">
        <v>61</v>
      </c>
      <c r="E105" s="1" t="s">
        <v>23</v>
      </c>
      <c r="F105" s="1">
        <v>1474</v>
      </c>
      <c r="G105" s="1">
        <v>514</v>
      </c>
      <c r="H105" s="1">
        <f t="shared" si="17"/>
        <v>4112</v>
      </c>
      <c r="I105" s="1">
        <f t="shared" si="18"/>
        <v>1228</v>
      </c>
      <c r="J105" s="1">
        <f t="shared" si="19"/>
        <v>744</v>
      </c>
      <c r="K105" s="1">
        <f t="shared" si="20"/>
        <v>511</v>
      </c>
      <c r="L105" s="1">
        <f t="shared" si="21"/>
        <v>315</v>
      </c>
      <c r="M105" s="1">
        <v>960</v>
      </c>
      <c r="N105" s="1">
        <v>0</v>
      </c>
      <c r="O105" s="1">
        <v>30</v>
      </c>
      <c r="P105" s="1">
        <v>2</v>
      </c>
      <c r="Q105" s="1" t="str">
        <f t="shared" si="22"/>
        <v>46,16,15;47,17,15</v>
      </c>
    </row>
    <row r="106" spans="1:17" x14ac:dyDescent="0.35">
      <c r="A106" s="4">
        <v>25</v>
      </c>
      <c r="B106" s="5">
        <f t="shared" si="15"/>
        <v>117</v>
      </c>
      <c r="C106" s="5">
        <f t="shared" si="16"/>
        <v>22</v>
      </c>
      <c r="D106" s="7" t="s">
        <v>62</v>
      </c>
      <c r="E106" s="1" t="s">
        <v>27</v>
      </c>
      <c r="F106" s="1">
        <v>1588</v>
      </c>
      <c r="G106" s="1">
        <v>1276</v>
      </c>
      <c r="H106" s="1">
        <f t="shared" si="17"/>
        <v>10208</v>
      </c>
      <c r="I106" s="1">
        <f t="shared" ref="I106:I137" si="23">QUOTIENT(H106-4-IF(A106&lt;=9,10,IF(AND(A106&gt;9,A106&lt;=26),12,IF(AND(A106&gt;26,A106&lt;=40),14))),10)*3+
IF(MOD(H106-4-IF(A106&lt;=9,10,IF(AND(A106&gt;9,A106&lt;=26),12,IF(AND(A106&gt;26,A106&lt;=40),14))),10)&gt;=7,2,IF(MOD(H106-4-IF(A106&lt;=9,10,IF(AND(A106&gt;9,A106&lt;=26),12,IF(AND(A106&gt;26,A106&lt;=40),14))),10)&lt;4,0,1))</f>
        <v>3057</v>
      </c>
      <c r="J106" s="1">
        <f t="shared" ref="J106:J138" si="24">QUOTIENT(H106-4-IF(A106&lt;=9,9,IF(AND(A106&gt;9,A106&lt;=26),11,IF(AND(A106&gt;26,A106&lt;=40),13))),11)*2+
IF(MOD(H106-4-IF(A106&lt;=9,9,IF(AND(A106&gt;9,A106&lt;=26),11,IF(AND(A106&gt;26,A106&lt;=40),13))),11)&gt;=6,1,0)</f>
        <v>1853</v>
      </c>
      <c r="K106" s="1">
        <f t="shared" ref="K106:K138" si="25">QUOTIENT(H106-4-IF(A106&lt;=9,8,IF(AND(A106&gt;9,A106&lt;=26),16,IF(AND(A106&gt;26,A106&lt;=40),16))),8)</f>
        <v>1273</v>
      </c>
      <c r="L106" s="1">
        <f t="shared" ref="L106:L138" si="26">QUOTIENT(H106-4-IF(A106&lt;=9,8,IF(AND(A106&gt;9,A106&lt;=26),10,IF(AND(A106&gt;26,A106&lt;=40),12))),13)</f>
        <v>784</v>
      </c>
      <c r="M106" s="1">
        <v>312</v>
      </c>
      <c r="N106" s="1">
        <v>0</v>
      </c>
      <c r="O106" s="1">
        <v>8</v>
      </c>
      <c r="P106" s="1">
        <v>4</v>
      </c>
      <c r="Q106" s="1" t="str">
        <f t="shared" ref="Q106:Q137" si="27">IF(P106=0,
(M106+G106)/O106&amp;","&amp;(G106/O106)&amp;","&amp;IF(N106&lt;2,_xlfn.FLOOR.MATH(((M106+G106)/O106-G106/O106)/2),_xlfn.FLOOR.MATH(((M106+G106)/O106-G106/O106)/2)-1),
_xlfn.FLOOR.MATH((M106+G106)/(O106+P106))&amp;","&amp;_xlfn.FLOOR.MATH((G106/(O106+P106)))&amp;","&amp;IF(N106&lt;2,_xlfn.FLOOR.MATH(((M106+G106)/(O106+P106)-G106/(O106+P106))/2),_xlfn.FLOOR.MATH(((M106+G106)/(O106+P106)-G106/(O106+P106))/2)-1)&amp;";"&amp;
_xlfn.CEILING.MATH((M106+G106)/(O106+P106))&amp;","&amp;_xlfn.CEILING.MATH((G106/(O106+P106)))&amp;","&amp;IF(N106&lt;2,_xlfn.CEILING.MATH(((M106+G106)/(O106+P106)-G106/(O106+P106))/2),_xlfn.CEILING.MATH(((M106+G106)/(O106+P106)-G106/(O106+P106))/2)-1))</f>
        <v>132,106,13;133,107,13</v>
      </c>
    </row>
    <row r="107" spans="1:17" x14ac:dyDescent="0.35">
      <c r="A107" s="4">
        <v>25</v>
      </c>
      <c r="B107" s="5">
        <f t="shared" si="15"/>
        <v>117</v>
      </c>
      <c r="C107" s="5">
        <f t="shared" si="16"/>
        <v>22</v>
      </c>
      <c r="D107" s="7" t="s">
        <v>62</v>
      </c>
      <c r="E107" s="1" t="s">
        <v>28</v>
      </c>
      <c r="F107" s="1">
        <v>1588</v>
      </c>
      <c r="G107" s="1">
        <v>1000</v>
      </c>
      <c r="H107" s="1">
        <f t="shared" si="17"/>
        <v>8000</v>
      </c>
      <c r="I107" s="1">
        <f t="shared" si="23"/>
        <v>2395</v>
      </c>
      <c r="J107" s="1">
        <f t="shared" si="24"/>
        <v>1451</v>
      </c>
      <c r="K107" s="1">
        <f t="shared" si="25"/>
        <v>997</v>
      </c>
      <c r="L107" s="1">
        <f t="shared" si="26"/>
        <v>614</v>
      </c>
      <c r="M107" s="1">
        <v>588</v>
      </c>
      <c r="N107" s="1">
        <v>0</v>
      </c>
      <c r="O107" s="1">
        <v>8</v>
      </c>
      <c r="P107" s="1">
        <v>13</v>
      </c>
      <c r="Q107" s="1" t="str">
        <f t="shared" si="27"/>
        <v>75,47,14;76,48,14</v>
      </c>
    </row>
    <row r="108" spans="1:17" x14ac:dyDescent="0.35">
      <c r="A108" s="4">
        <v>25</v>
      </c>
      <c r="B108" s="5">
        <f t="shared" si="15"/>
        <v>117</v>
      </c>
      <c r="C108" s="5">
        <f t="shared" si="16"/>
        <v>22</v>
      </c>
      <c r="D108" s="7" t="s">
        <v>62</v>
      </c>
      <c r="E108" s="1" t="s">
        <v>46</v>
      </c>
      <c r="F108" s="1">
        <v>1588</v>
      </c>
      <c r="G108" s="1">
        <v>718</v>
      </c>
      <c r="H108" s="1">
        <f t="shared" si="17"/>
        <v>5744</v>
      </c>
      <c r="I108" s="1">
        <f t="shared" si="23"/>
        <v>1718</v>
      </c>
      <c r="J108" s="1">
        <f t="shared" si="24"/>
        <v>1041</v>
      </c>
      <c r="K108" s="1">
        <f t="shared" si="25"/>
        <v>715</v>
      </c>
      <c r="L108" s="1">
        <f t="shared" si="26"/>
        <v>440</v>
      </c>
      <c r="M108" s="1">
        <v>870</v>
      </c>
      <c r="N108" s="1">
        <v>0</v>
      </c>
      <c r="O108" s="1">
        <v>7</v>
      </c>
      <c r="P108" s="1">
        <v>22</v>
      </c>
      <c r="Q108" s="1" t="str">
        <f t="shared" si="27"/>
        <v>54,24,15;55,25,15</v>
      </c>
    </row>
    <row r="109" spans="1:17" x14ac:dyDescent="0.35">
      <c r="A109" s="4">
        <v>25</v>
      </c>
      <c r="B109" s="5">
        <f t="shared" si="15"/>
        <v>117</v>
      </c>
      <c r="C109" s="5">
        <f t="shared" si="16"/>
        <v>22</v>
      </c>
      <c r="D109" s="7" t="s">
        <v>62</v>
      </c>
      <c r="E109" s="1" t="s">
        <v>23</v>
      </c>
      <c r="F109" s="1">
        <v>1588</v>
      </c>
      <c r="G109" s="1">
        <v>538</v>
      </c>
      <c r="H109" s="1">
        <f t="shared" si="17"/>
        <v>4304</v>
      </c>
      <c r="I109" s="1">
        <f t="shared" si="23"/>
        <v>1286</v>
      </c>
      <c r="J109" s="1">
        <f t="shared" si="24"/>
        <v>779</v>
      </c>
      <c r="K109" s="1">
        <f t="shared" si="25"/>
        <v>535</v>
      </c>
      <c r="L109" s="1">
        <f t="shared" si="26"/>
        <v>330</v>
      </c>
      <c r="M109" s="1">
        <v>1050</v>
      </c>
      <c r="N109" s="1">
        <v>0</v>
      </c>
      <c r="O109" s="1">
        <v>22</v>
      </c>
      <c r="P109" s="1">
        <v>13</v>
      </c>
      <c r="Q109" s="1" t="str">
        <f t="shared" si="27"/>
        <v>45,15,15;46,16,15</v>
      </c>
    </row>
    <row r="110" spans="1:17" x14ac:dyDescent="0.35">
      <c r="A110" s="4">
        <v>26</v>
      </c>
      <c r="B110" s="5">
        <f t="shared" si="15"/>
        <v>121</v>
      </c>
      <c r="C110" s="5">
        <f t="shared" si="16"/>
        <v>22</v>
      </c>
      <c r="D110" s="7" t="s">
        <v>63</v>
      </c>
      <c r="E110" s="1" t="s">
        <v>27</v>
      </c>
      <c r="F110" s="1">
        <v>1706</v>
      </c>
      <c r="G110" s="1">
        <v>1370</v>
      </c>
      <c r="H110" s="1">
        <f t="shared" si="17"/>
        <v>10960</v>
      </c>
      <c r="I110" s="1">
        <f t="shared" si="23"/>
        <v>3283</v>
      </c>
      <c r="J110" s="1">
        <f t="shared" si="24"/>
        <v>1990</v>
      </c>
      <c r="K110" s="1">
        <f t="shared" si="25"/>
        <v>1367</v>
      </c>
      <c r="L110" s="1">
        <f t="shared" si="26"/>
        <v>842</v>
      </c>
      <c r="M110" s="1">
        <v>336</v>
      </c>
      <c r="N110" s="1">
        <v>0</v>
      </c>
      <c r="O110" s="1">
        <v>10</v>
      </c>
      <c r="P110" s="1">
        <v>2</v>
      </c>
      <c r="Q110" s="1" t="str">
        <f t="shared" si="27"/>
        <v>142,114,14;143,115,14</v>
      </c>
    </row>
    <row r="111" spans="1:17" x14ac:dyDescent="0.35">
      <c r="A111" s="4">
        <v>26</v>
      </c>
      <c r="B111" s="5">
        <f t="shared" si="15"/>
        <v>121</v>
      </c>
      <c r="C111" s="5">
        <f t="shared" si="16"/>
        <v>22</v>
      </c>
      <c r="D111" s="7" t="s">
        <v>63</v>
      </c>
      <c r="E111" s="1" t="s">
        <v>28</v>
      </c>
      <c r="F111" s="1">
        <v>1706</v>
      </c>
      <c r="G111" s="1">
        <v>1062</v>
      </c>
      <c r="H111" s="1">
        <f t="shared" si="17"/>
        <v>8496</v>
      </c>
      <c r="I111" s="1">
        <f t="shared" si="23"/>
        <v>2544</v>
      </c>
      <c r="J111" s="1">
        <f t="shared" si="24"/>
        <v>1542</v>
      </c>
      <c r="K111" s="1">
        <f t="shared" si="25"/>
        <v>1059</v>
      </c>
      <c r="L111" s="1">
        <f t="shared" si="26"/>
        <v>652</v>
      </c>
      <c r="M111" s="1">
        <v>644</v>
      </c>
      <c r="N111" s="1">
        <v>0</v>
      </c>
      <c r="O111" s="1">
        <v>19</v>
      </c>
      <c r="P111" s="1">
        <v>4</v>
      </c>
      <c r="Q111" s="1" t="str">
        <f t="shared" si="27"/>
        <v>74,46,14;75,47,14</v>
      </c>
    </row>
    <row r="112" spans="1:17" x14ac:dyDescent="0.35">
      <c r="A112" s="4">
        <v>26</v>
      </c>
      <c r="B112" s="5">
        <f t="shared" si="15"/>
        <v>121</v>
      </c>
      <c r="C112" s="5">
        <f t="shared" si="16"/>
        <v>22</v>
      </c>
      <c r="D112" s="7" t="s">
        <v>63</v>
      </c>
      <c r="E112" s="1" t="s">
        <v>46</v>
      </c>
      <c r="F112" s="1">
        <v>1706</v>
      </c>
      <c r="G112" s="1">
        <v>754</v>
      </c>
      <c r="H112" s="1">
        <f t="shared" si="17"/>
        <v>6032</v>
      </c>
      <c r="I112" s="1">
        <f t="shared" si="23"/>
        <v>1804</v>
      </c>
      <c r="J112" s="1">
        <f t="shared" si="24"/>
        <v>1094</v>
      </c>
      <c r="K112" s="1">
        <f t="shared" si="25"/>
        <v>751</v>
      </c>
      <c r="L112" s="1">
        <f t="shared" si="26"/>
        <v>462</v>
      </c>
      <c r="M112" s="1">
        <v>952</v>
      </c>
      <c r="N112" s="1">
        <v>0</v>
      </c>
      <c r="O112" s="1">
        <v>28</v>
      </c>
      <c r="P112" s="1">
        <v>6</v>
      </c>
      <c r="Q112" s="1" t="str">
        <f t="shared" si="27"/>
        <v>50,22,14;51,23,14</v>
      </c>
    </row>
    <row r="113" spans="1:17" x14ac:dyDescent="0.35">
      <c r="A113" s="4">
        <v>26</v>
      </c>
      <c r="B113" s="5">
        <f t="shared" si="15"/>
        <v>121</v>
      </c>
      <c r="C113" s="5">
        <f t="shared" si="16"/>
        <v>22</v>
      </c>
      <c r="D113" s="7" t="s">
        <v>63</v>
      </c>
      <c r="E113" s="1" t="s">
        <v>23</v>
      </c>
      <c r="F113" s="1">
        <v>1706</v>
      </c>
      <c r="G113" s="1">
        <v>596</v>
      </c>
      <c r="H113" s="1">
        <f t="shared" si="17"/>
        <v>4768</v>
      </c>
      <c r="I113" s="1">
        <f t="shared" si="23"/>
        <v>1425</v>
      </c>
      <c r="J113" s="1">
        <f t="shared" si="24"/>
        <v>864</v>
      </c>
      <c r="K113" s="1">
        <f t="shared" si="25"/>
        <v>593</v>
      </c>
      <c r="L113" s="1">
        <f t="shared" si="26"/>
        <v>365</v>
      </c>
      <c r="M113" s="1">
        <v>1110</v>
      </c>
      <c r="N113" s="1">
        <v>0</v>
      </c>
      <c r="O113" s="1">
        <v>33</v>
      </c>
      <c r="P113" s="1">
        <v>4</v>
      </c>
      <c r="Q113" s="1" t="str">
        <f t="shared" si="27"/>
        <v>46,16,15;47,17,15</v>
      </c>
    </row>
    <row r="114" spans="1:17" x14ac:dyDescent="0.35">
      <c r="A114" s="4">
        <v>27</v>
      </c>
      <c r="B114" s="5">
        <f t="shared" si="15"/>
        <v>125</v>
      </c>
      <c r="C114" s="5">
        <f t="shared" si="16"/>
        <v>22</v>
      </c>
      <c r="D114" s="7" t="s">
        <v>64</v>
      </c>
      <c r="E114" s="1" t="s">
        <v>27</v>
      </c>
      <c r="F114" s="1">
        <v>1828</v>
      </c>
      <c r="G114" s="1">
        <v>1468</v>
      </c>
      <c r="H114" s="1">
        <f t="shared" si="17"/>
        <v>11744</v>
      </c>
      <c r="I114" s="1">
        <f t="shared" si="23"/>
        <v>3517</v>
      </c>
      <c r="J114" s="1">
        <f t="shared" si="24"/>
        <v>2132</v>
      </c>
      <c r="K114" s="1">
        <f t="shared" si="25"/>
        <v>1465</v>
      </c>
      <c r="L114" s="1">
        <f t="shared" si="26"/>
        <v>902</v>
      </c>
      <c r="M114" s="1">
        <v>360</v>
      </c>
      <c r="N114" s="1">
        <v>0</v>
      </c>
      <c r="O114" s="1">
        <v>8</v>
      </c>
      <c r="P114" s="1">
        <v>4</v>
      </c>
      <c r="Q114" s="1" t="str">
        <f t="shared" si="27"/>
        <v>152,122,15;153,123,15</v>
      </c>
    </row>
    <row r="115" spans="1:17" x14ac:dyDescent="0.35">
      <c r="A115" s="4">
        <v>27</v>
      </c>
      <c r="B115" s="5">
        <f t="shared" si="15"/>
        <v>125</v>
      </c>
      <c r="C115" s="5">
        <f t="shared" si="16"/>
        <v>22</v>
      </c>
      <c r="D115" s="7" t="s">
        <v>64</v>
      </c>
      <c r="E115" s="1" t="s">
        <v>28</v>
      </c>
      <c r="F115" s="1">
        <v>1828</v>
      </c>
      <c r="G115" s="1">
        <v>1128</v>
      </c>
      <c r="H115" s="1">
        <f t="shared" si="17"/>
        <v>9024</v>
      </c>
      <c r="I115" s="1">
        <f t="shared" si="23"/>
        <v>2701</v>
      </c>
      <c r="J115" s="1">
        <f t="shared" si="24"/>
        <v>1637</v>
      </c>
      <c r="K115" s="1">
        <f t="shared" si="25"/>
        <v>1125</v>
      </c>
      <c r="L115" s="1">
        <f t="shared" si="26"/>
        <v>692</v>
      </c>
      <c r="M115" s="1">
        <v>700</v>
      </c>
      <c r="N115" s="1">
        <v>0</v>
      </c>
      <c r="O115" s="1">
        <v>22</v>
      </c>
      <c r="P115" s="1">
        <v>3</v>
      </c>
      <c r="Q115" s="1" t="str">
        <f t="shared" si="27"/>
        <v>73,45,14;74,46,14</v>
      </c>
    </row>
    <row r="116" spans="1:17" x14ac:dyDescent="0.35">
      <c r="A116" s="4">
        <v>27</v>
      </c>
      <c r="B116" s="5">
        <f t="shared" si="15"/>
        <v>125</v>
      </c>
      <c r="C116" s="5">
        <f t="shared" si="16"/>
        <v>22</v>
      </c>
      <c r="D116" s="7" t="s">
        <v>64</v>
      </c>
      <c r="E116" s="1" t="s">
        <v>46</v>
      </c>
      <c r="F116" s="1">
        <v>1828</v>
      </c>
      <c r="G116" s="1">
        <v>808</v>
      </c>
      <c r="H116" s="1">
        <f t="shared" si="17"/>
        <v>6464</v>
      </c>
      <c r="I116" s="1">
        <f t="shared" si="23"/>
        <v>1933</v>
      </c>
      <c r="J116" s="1">
        <f t="shared" si="24"/>
        <v>1172</v>
      </c>
      <c r="K116" s="1">
        <f t="shared" si="25"/>
        <v>805</v>
      </c>
      <c r="L116" s="1">
        <f t="shared" si="26"/>
        <v>496</v>
      </c>
      <c r="M116" s="1">
        <v>1020</v>
      </c>
      <c r="N116" s="1">
        <v>0</v>
      </c>
      <c r="O116" s="1">
        <v>8</v>
      </c>
      <c r="P116" s="1">
        <v>26</v>
      </c>
      <c r="Q116" s="1" t="str">
        <f t="shared" si="27"/>
        <v>53,23,15;54,24,15</v>
      </c>
    </row>
    <row r="117" spans="1:17" x14ac:dyDescent="0.35">
      <c r="A117" s="4">
        <v>27</v>
      </c>
      <c r="B117" s="5">
        <f t="shared" si="15"/>
        <v>125</v>
      </c>
      <c r="C117" s="5">
        <f t="shared" si="16"/>
        <v>22</v>
      </c>
      <c r="D117" s="7" t="s">
        <v>64</v>
      </c>
      <c r="E117" s="1" t="s">
        <v>23</v>
      </c>
      <c r="F117" s="1">
        <v>1828</v>
      </c>
      <c r="G117" s="1">
        <v>628</v>
      </c>
      <c r="H117" s="1">
        <f t="shared" si="17"/>
        <v>5024</v>
      </c>
      <c r="I117" s="1">
        <f t="shared" si="23"/>
        <v>1501</v>
      </c>
      <c r="J117" s="1">
        <f t="shared" si="24"/>
        <v>910</v>
      </c>
      <c r="K117" s="1">
        <f t="shared" si="25"/>
        <v>625</v>
      </c>
      <c r="L117" s="1">
        <f t="shared" si="26"/>
        <v>385</v>
      </c>
      <c r="M117" s="1">
        <v>1200</v>
      </c>
      <c r="N117" s="1">
        <v>0</v>
      </c>
      <c r="O117" s="1">
        <v>12</v>
      </c>
      <c r="P117" s="1">
        <v>28</v>
      </c>
      <c r="Q117" s="1" t="str">
        <f t="shared" si="27"/>
        <v>45,15,15;46,16,15</v>
      </c>
    </row>
    <row r="118" spans="1:17" x14ac:dyDescent="0.35">
      <c r="A118" s="4">
        <v>28</v>
      </c>
      <c r="B118" s="5">
        <f t="shared" si="15"/>
        <v>129</v>
      </c>
      <c r="C118" s="5">
        <f t="shared" si="16"/>
        <v>33</v>
      </c>
      <c r="D118" s="7" t="s">
        <v>65</v>
      </c>
      <c r="E118" s="1" t="s">
        <v>27</v>
      </c>
      <c r="F118" s="1">
        <v>1921</v>
      </c>
      <c r="G118" s="1">
        <v>1531</v>
      </c>
      <c r="H118" s="1">
        <f t="shared" si="17"/>
        <v>12248</v>
      </c>
      <c r="I118" s="1">
        <f t="shared" si="23"/>
        <v>3669</v>
      </c>
      <c r="J118" s="1">
        <f t="shared" si="24"/>
        <v>2223</v>
      </c>
      <c r="K118" s="1">
        <f t="shared" si="25"/>
        <v>1528</v>
      </c>
      <c r="L118" s="1">
        <f t="shared" si="26"/>
        <v>940</v>
      </c>
      <c r="M118" s="1">
        <v>390</v>
      </c>
      <c r="N118" s="1">
        <v>0</v>
      </c>
      <c r="O118" s="1">
        <v>3</v>
      </c>
      <c r="P118" s="1">
        <v>10</v>
      </c>
      <c r="Q118" s="1" t="str">
        <f t="shared" si="27"/>
        <v>147,117,15;148,118,15</v>
      </c>
    </row>
    <row r="119" spans="1:17" x14ac:dyDescent="0.35">
      <c r="A119" s="4">
        <v>28</v>
      </c>
      <c r="B119" s="5">
        <f t="shared" si="15"/>
        <v>129</v>
      </c>
      <c r="C119" s="5">
        <f t="shared" si="16"/>
        <v>33</v>
      </c>
      <c r="D119" s="7" t="s">
        <v>65</v>
      </c>
      <c r="E119" s="1" t="s">
        <v>28</v>
      </c>
      <c r="F119" s="1">
        <v>1921</v>
      </c>
      <c r="G119" s="1">
        <v>1193</v>
      </c>
      <c r="H119" s="1">
        <f t="shared" si="17"/>
        <v>9544</v>
      </c>
      <c r="I119" s="1">
        <f t="shared" si="23"/>
        <v>2857</v>
      </c>
      <c r="J119" s="1">
        <f t="shared" si="24"/>
        <v>1732</v>
      </c>
      <c r="K119" s="1">
        <f t="shared" si="25"/>
        <v>1190</v>
      </c>
      <c r="L119" s="1">
        <f t="shared" si="26"/>
        <v>732</v>
      </c>
      <c r="M119" s="1">
        <v>728</v>
      </c>
      <c r="N119" s="1">
        <v>0</v>
      </c>
      <c r="O119" s="1">
        <v>3</v>
      </c>
      <c r="P119" s="1">
        <v>23</v>
      </c>
      <c r="Q119" s="1" t="str">
        <f t="shared" si="27"/>
        <v>73,45,14;74,46,14</v>
      </c>
    </row>
    <row r="120" spans="1:17" x14ac:dyDescent="0.35">
      <c r="A120" s="4">
        <v>28</v>
      </c>
      <c r="B120" s="5">
        <f t="shared" si="15"/>
        <v>129</v>
      </c>
      <c r="C120" s="5">
        <f t="shared" si="16"/>
        <v>33</v>
      </c>
      <c r="D120" s="7" t="s">
        <v>65</v>
      </c>
      <c r="E120" s="1" t="s">
        <v>46</v>
      </c>
      <c r="F120" s="1">
        <v>1921</v>
      </c>
      <c r="G120" s="1">
        <v>871</v>
      </c>
      <c r="H120" s="1">
        <f t="shared" si="17"/>
        <v>6968</v>
      </c>
      <c r="I120" s="1">
        <f t="shared" si="23"/>
        <v>2085</v>
      </c>
      <c r="J120" s="1">
        <f t="shared" si="24"/>
        <v>1263</v>
      </c>
      <c r="K120" s="1">
        <f t="shared" si="25"/>
        <v>868</v>
      </c>
      <c r="L120" s="1">
        <f t="shared" si="26"/>
        <v>534</v>
      </c>
      <c r="M120" s="1">
        <v>1050</v>
      </c>
      <c r="N120" s="1">
        <v>0</v>
      </c>
      <c r="O120" s="1">
        <v>4</v>
      </c>
      <c r="P120" s="1">
        <v>31</v>
      </c>
      <c r="Q120" s="1" t="str">
        <f t="shared" si="27"/>
        <v>54,24,15;55,25,15</v>
      </c>
    </row>
    <row r="121" spans="1:17" x14ac:dyDescent="0.35">
      <c r="A121" s="4">
        <v>28</v>
      </c>
      <c r="B121" s="5">
        <f t="shared" si="15"/>
        <v>129</v>
      </c>
      <c r="C121" s="5">
        <f t="shared" si="16"/>
        <v>33</v>
      </c>
      <c r="D121" s="7" t="s">
        <v>65</v>
      </c>
      <c r="E121" s="1" t="s">
        <v>23</v>
      </c>
      <c r="F121" s="1">
        <v>1921</v>
      </c>
      <c r="G121" s="1">
        <v>661</v>
      </c>
      <c r="H121" s="1">
        <f t="shared" si="17"/>
        <v>5288</v>
      </c>
      <c r="I121" s="1">
        <f t="shared" si="23"/>
        <v>1581</v>
      </c>
      <c r="J121" s="1">
        <f t="shared" si="24"/>
        <v>958</v>
      </c>
      <c r="K121" s="1">
        <f t="shared" si="25"/>
        <v>658</v>
      </c>
      <c r="L121" s="1">
        <f t="shared" si="26"/>
        <v>405</v>
      </c>
      <c r="M121" s="1">
        <v>1260</v>
      </c>
      <c r="N121" s="1">
        <v>0</v>
      </c>
      <c r="O121" s="1">
        <v>11</v>
      </c>
      <c r="P121" s="1">
        <v>31</v>
      </c>
      <c r="Q121" s="1" t="str">
        <f t="shared" si="27"/>
        <v>45,15,15;46,16,15</v>
      </c>
    </row>
    <row r="122" spans="1:17" x14ac:dyDescent="0.35">
      <c r="A122" s="4">
        <v>29</v>
      </c>
      <c r="B122" s="5">
        <f t="shared" si="15"/>
        <v>133</v>
      </c>
      <c r="C122" s="5">
        <f t="shared" si="16"/>
        <v>33</v>
      </c>
      <c r="D122" s="7" t="s">
        <v>66</v>
      </c>
      <c r="E122" s="1" t="s">
        <v>27</v>
      </c>
      <c r="F122" s="1">
        <v>2051</v>
      </c>
      <c r="G122" s="1">
        <v>1631</v>
      </c>
      <c r="H122" s="1">
        <f t="shared" si="17"/>
        <v>13048</v>
      </c>
      <c r="I122" s="1">
        <f t="shared" si="23"/>
        <v>3909</v>
      </c>
      <c r="J122" s="1">
        <f t="shared" si="24"/>
        <v>2369</v>
      </c>
      <c r="K122" s="1">
        <f t="shared" si="25"/>
        <v>1628</v>
      </c>
      <c r="L122" s="1">
        <f t="shared" si="26"/>
        <v>1002</v>
      </c>
      <c r="M122" s="1">
        <v>420</v>
      </c>
      <c r="N122" s="1">
        <v>0</v>
      </c>
      <c r="O122" s="1">
        <v>7</v>
      </c>
      <c r="P122" s="1">
        <v>7</v>
      </c>
      <c r="Q122" s="1" t="str">
        <f t="shared" si="27"/>
        <v>146,116,15;147,117,15</v>
      </c>
    </row>
    <row r="123" spans="1:17" x14ac:dyDescent="0.35">
      <c r="A123" s="4">
        <v>29</v>
      </c>
      <c r="B123" s="5">
        <f t="shared" si="15"/>
        <v>133</v>
      </c>
      <c r="C123" s="5">
        <f t="shared" si="16"/>
        <v>33</v>
      </c>
      <c r="D123" s="7" t="s">
        <v>66</v>
      </c>
      <c r="E123" s="1" t="s">
        <v>28</v>
      </c>
      <c r="F123" s="1">
        <v>2051</v>
      </c>
      <c r="G123" s="1">
        <v>1267</v>
      </c>
      <c r="H123" s="1">
        <f t="shared" si="17"/>
        <v>10136</v>
      </c>
      <c r="I123" s="1">
        <f t="shared" si="23"/>
        <v>3035</v>
      </c>
      <c r="J123" s="1">
        <f t="shared" si="24"/>
        <v>1839</v>
      </c>
      <c r="K123" s="1">
        <f t="shared" si="25"/>
        <v>1264</v>
      </c>
      <c r="L123" s="1">
        <f t="shared" si="26"/>
        <v>778</v>
      </c>
      <c r="M123" s="1">
        <v>784</v>
      </c>
      <c r="N123" s="1">
        <v>0</v>
      </c>
      <c r="O123" s="1">
        <v>21</v>
      </c>
      <c r="P123" s="1">
        <v>7</v>
      </c>
      <c r="Q123" s="1" t="str">
        <f t="shared" si="27"/>
        <v>73,45,14;74,46,14</v>
      </c>
    </row>
    <row r="124" spans="1:17" x14ac:dyDescent="0.35">
      <c r="A124" s="4">
        <v>29</v>
      </c>
      <c r="B124" s="5">
        <f t="shared" si="15"/>
        <v>133</v>
      </c>
      <c r="C124" s="5">
        <f t="shared" si="16"/>
        <v>33</v>
      </c>
      <c r="D124" s="7" t="s">
        <v>66</v>
      </c>
      <c r="E124" s="1" t="s">
        <v>46</v>
      </c>
      <c r="F124" s="1">
        <v>2051</v>
      </c>
      <c r="G124" s="1">
        <v>911</v>
      </c>
      <c r="H124" s="1">
        <f t="shared" si="17"/>
        <v>7288</v>
      </c>
      <c r="I124" s="1">
        <f t="shared" si="23"/>
        <v>2181</v>
      </c>
      <c r="J124" s="1">
        <f t="shared" si="24"/>
        <v>1322</v>
      </c>
      <c r="K124" s="1">
        <f t="shared" si="25"/>
        <v>908</v>
      </c>
      <c r="L124" s="1">
        <f t="shared" si="26"/>
        <v>559</v>
      </c>
      <c r="M124" s="1">
        <v>1140</v>
      </c>
      <c r="N124" s="1">
        <v>0</v>
      </c>
      <c r="O124" s="1">
        <v>1</v>
      </c>
      <c r="P124" s="1">
        <v>37</v>
      </c>
      <c r="Q124" s="1" t="str">
        <f t="shared" si="27"/>
        <v>53,23,15;54,24,15</v>
      </c>
    </row>
    <row r="125" spans="1:17" x14ac:dyDescent="0.35">
      <c r="A125" s="4">
        <v>29</v>
      </c>
      <c r="B125" s="5">
        <f t="shared" si="15"/>
        <v>133</v>
      </c>
      <c r="C125" s="5">
        <f t="shared" si="16"/>
        <v>33</v>
      </c>
      <c r="D125" s="7" t="s">
        <v>66</v>
      </c>
      <c r="E125" s="1" t="s">
        <v>23</v>
      </c>
      <c r="F125" s="1">
        <v>2051</v>
      </c>
      <c r="G125" s="1">
        <v>701</v>
      </c>
      <c r="H125" s="1">
        <f t="shared" si="17"/>
        <v>5608</v>
      </c>
      <c r="I125" s="1">
        <f t="shared" si="23"/>
        <v>1677</v>
      </c>
      <c r="J125" s="1">
        <f t="shared" si="24"/>
        <v>1016</v>
      </c>
      <c r="K125" s="1">
        <f t="shared" si="25"/>
        <v>698</v>
      </c>
      <c r="L125" s="1">
        <f t="shared" si="26"/>
        <v>430</v>
      </c>
      <c r="M125" s="1">
        <v>1350</v>
      </c>
      <c r="N125" s="1">
        <v>0</v>
      </c>
      <c r="O125" s="1">
        <v>19</v>
      </c>
      <c r="P125" s="1">
        <v>26</v>
      </c>
      <c r="Q125" s="1" t="str">
        <f t="shared" si="27"/>
        <v>45,15,15;46,16,15</v>
      </c>
    </row>
    <row r="126" spans="1:17" x14ac:dyDescent="0.35">
      <c r="A126" s="4">
        <v>30</v>
      </c>
      <c r="B126" s="5">
        <f t="shared" si="15"/>
        <v>137</v>
      </c>
      <c r="C126" s="5">
        <f t="shared" si="16"/>
        <v>33</v>
      </c>
      <c r="D126" s="7" t="s">
        <v>67</v>
      </c>
      <c r="E126" s="1" t="s">
        <v>27</v>
      </c>
      <c r="F126" s="1">
        <v>2185</v>
      </c>
      <c r="G126" s="1">
        <v>1735</v>
      </c>
      <c r="H126" s="1">
        <f t="shared" si="17"/>
        <v>13880</v>
      </c>
      <c r="I126" s="1">
        <f t="shared" si="23"/>
        <v>4158</v>
      </c>
      <c r="J126" s="1">
        <f t="shared" si="24"/>
        <v>2520</v>
      </c>
      <c r="K126" s="1">
        <f t="shared" si="25"/>
        <v>1732</v>
      </c>
      <c r="L126" s="1">
        <f t="shared" si="26"/>
        <v>1066</v>
      </c>
      <c r="M126" s="1">
        <v>450</v>
      </c>
      <c r="N126" s="1">
        <v>0</v>
      </c>
      <c r="O126" s="1">
        <v>5</v>
      </c>
      <c r="P126" s="1">
        <v>10</v>
      </c>
      <c r="Q126" s="1" t="str">
        <f t="shared" si="27"/>
        <v>145,115,15;146,116,15</v>
      </c>
    </row>
    <row r="127" spans="1:17" x14ac:dyDescent="0.35">
      <c r="A127" s="4">
        <v>30</v>
      </c>
      <c r="B127" s="5">
        <f t="shared" si="15"/>
        <v>137</v>
      </c>
      <c r="C127" s="5">
        <f t="shared" si="16"/>
        <v>33</v>
      </c>
      <c r="D127" s="7" t="s">
        <v>67</v>
      </c>
      <c r="E127" s="1" t="s">
        <v>28</v>
      </c>
      <c r="F127" s="1">
        <v>2185</v>
      </c>
      <c r="G127" s="1">
        <v>1373</v>
      </c>
      <c r="H127" s="1">
        <f t="shared" si="17"/>
        <v>10984</v>
      </c>
      <c r="I127" s="1">
        <f t="shared" si="23"/>
        <v>3289</v>
      </c>
      <c r="J127" s="1">
        <f t="shared" si="24"/>
        <v>1994</v>
      </c>
      <c r="K127" s="1">
        <f t="shared" si="25"/>
        <v>1370</v>
      </c>
      <c r="L127" s="1">
        <f t="shared" si="26"/>
        <v>843</v>
      </c>
      <c r="M127" s="1">
        <v>812</v>
      </c>
      <c r="N127" s="1">
        <v>0</v>
      </c>
      <c r="O127" s="1">
        <v>19</v>
      </c>
      <c r="P127" s="1">
        <v>10</v>
      </c>
      <c r="Q127" s="1" t="str">
        <f t="shared" si="27"/>
        <v>75,47,14;76,48,14</v>
      </c>
    </row>
    <row r="128" spans="1:17" x14ac:dyDescent="0.35">
      <c r="A128" s="4">
        <v>30</v>
      </c>
      <c r="B128" s="5">
        <f t="shared" si="15"/>
        <v>137</v>
      </c>
      <c r="C128" s="5">
        <f t="shared" si="16"/>
        <v>33</v>
      </c>
      <c r="D128" s="7" t="s">
        <v>67</v>
      </c>
      <c r="E128" s="1" t="s">
        <v>46</v>
      </c>
      <c r="F128" s="1">
        <v>2185</v>
      </c>
      <c r="G128" s="1">
        <v>985</v>
      </c>
      <c r="H128" s="1">
        <f t="shared" si="17"/>
        <v>7880</v>
      </c>
      <c r="I128" s="1">
        <f t="shared" si="23"/>
        <v>2358</v>
      </c>
      <c r="J128" s="1">
        <f t="shared" si="24"/>
        <v>1429</v>
      </c>
      <c r="K128" s="1">
        <f t="shared" si="25"/>
        <v>982</v>
      </c>
      <c r="L128" s="1">
        <f t="shared" si="26"/>
        <v>604</v>
      </c>
      <c r="M128" s="1">
        <v>1200</v>
      </c>
      <c r="N128" s="1">
        <v>0</v>
      </c>
      <c r="O128" s="1">
        <v>25</v>
      </c>
      <c r="P128" s="1">
        <v>25</v>
      </c>
      <c r="Q128" s="1" t="str">
        <f t="shared" si="27"/>
        <v>43,19,12;44,20,12</v>
      </c>
    </row>
    <row r="129" spans="1:17" x14ac:dyDescent="0.35">
      <c r="A129" s="4">
        <v>30</v>
      </c>
      <c r="B129" s="5">
        <f t="shared" si="15"/>
        <v>137</v>
      </c>
      <c r="C129" s="5">
        <f t="shared" si="16"/>
        <v>33</v>
      </c>
      <c r="D129" s="7" t="s">
        <v>67</v>
      </c>
      <c r="E129" s="1" t="s">
        <v>23</v>
      </c>
      <c r="F129" s="1">
        <v>2185</v>
      </c>
      <c r="G129" s="1">
        <v>745</v>
      </c>
      <c r="H129" s="1">
        <f t="shared" si="17"/>
        <v>5960</v>
      </c>
      <c r="I129" s="1">
        <f t="shared" si="23"/>
        <v>1782</v>
      </c>
      <c r="J129" s="1">
        <f t="shared" si="24"/>
        <v>1080</v>
      </c>
      <c r="K129" s="1">
        <f t="shared" si="25"/>
        <v>742</v>
      </c>
      <c r="L129" s="1">
        <f t="shared" si="26"/>
        <v>457</v>
      </c>
      <c r="M129" s="1">
        <v>1440</v>
      </c>
      <c r="N129" s="1">
        <v>0</v>
      </c>
      <c r="O129" s="1">
        <v>23</v>
      </c>
      <c r="P129" s="1">
        <v>25</v>
      </c>
      <c r="Q129" s="1" t="str">
        <f t="shared" si="27"/>
        <v>45,15,15;46,16,15</v>
      </c>
    </row>
    <row r="130" spans="1:17" x14ac:dyDescent="0.35">
      <c r="A130" s="4">
        <v>31</v>
      </c>
      <c r="B130" s="5">
        <f t="shared" ref="B130:B169" si="28">IF(A130&lt;0,11 + (4+A130)*2,21 + (A130-1)*4)</f>
        <v>141</v>
      </c>
      <c r="C130" s="5">
        <f t="shared" ref="C130:C169" si="29">IF(A130&lt;=1, 0,
IF(AND(A130&gt;1, A130&lt;7), 1,
IF(AND(A130&gt;=7, A130&lt;14), 6,
IF(AND(A130&gt;=14, A130&lt;21), 13,
IF(AND(A130&gt;=21, A130&lt;28), 22,
IF(AND(A130&gt;=28, A130&lt;35), 33,
IF(A130&gt;=35, 46, "")))))))</f>
        <v>33</v>
      </c>
      <c r="D130" s="7" t="s">
        <v>68</v>
      </c>
      <c r="E130" s="1" t="s">
        <v>27</v>
      </c>
      <c r="F130" s="1">
        <v>2323</v>
      </c>
      <c r="G130" s="1">
        <v>1843</v>
      </c>
      <c r="H130" s="1">
        <f t="shared" si="17"/>
        <v>14744</v>
      </c>
      <c r="I130" s="1">
        <f t="shared" si="23"/>
        <v>4417</v>
      </c>
      <c r="J130" s="1">
        <f t="shared" si="24"/>
        <v>2677</v>
      </c>
      <c r="K130" s="1">
        <f t="shared" si="25"/>
        <v>1840</v>
      </c>
      <c r="L130" s="1">
        <f t="shared" si="26"/>
        <v>1132</v>
      </c>
      <c r="M130" s="1">
        <v>480</v>
      </c>
      <c r="N130" s="1">
        <v>0</v>
      </c>
      <c r="O130" s="1">
        <v>13</v>
      </c>
      <c r="P130" s="1">
        <v>3</v>
      </c>
      <c r="Q130" s="1" t="str">
        <f t="shared" si="27"/>
        <v>145,115,15;146,116,15</v>
      </c>
    </row>
    <row r="131" spans="1:17" x14ac:dyDescent="0.35">
      <c r="A131" s="4">
        <v>31</v>
      </c>
      <c r="B131" s="5">
        <f t="shared" si="28"/>
        <v>141</v>
      </c>
      <c r="C131" s="5">
        <f t="shared" si="29"/>
        <v>33</v>
      </c>
      <c r="D131" s="7" t="s">
        <v>68</v>
      </c>
      <c r="E131" s="1" t="s">
        <v>28</v>
      </c>
      <c r="F131" s="1">
        <v>2323</v>
      </c>
      <c r="G131" s="1">
        <v>1455</v>
      </c>
      <c r="H131" s="1">
        <f t="shared" ref="H131:H169" si="30">IF(A131&lt;-1,G131*8-4,G131*8)</f>
        <v>11640</v>
      </c>
      <c r="I131" s="1">
        <f t="shared" si="23"/>
        <v>3486</v>
      </c>
      <c r="J131" s="1">
        <f t="shared" si="24"/>
        <v>2113</v>
      </c>
      <c r="K131" s="1">
        <f t="shared" si="25"/>
        <v>1452</v>
      </c>
      <c r="L131" s="1">
        <f t="shared" si="26"/>
        <v>894</v>
      </c>
      <c r="M131" s="1">
        <v>868</v>
      </c>
      <c r="N131" s="1">
        <v>0</v>
      </c>
      <c r="O131" s="1">
        <v>2</v>
      </c>
      <c r="P131" s="1">
        <v>29</v>
      </c>
      <c r="Q131" s="1" t="str">
        <f t="shared" si="27"/>
        <v>74,46,14;75,47,14</v>
      </c>
    </row>
    <row r="132" spans="1:17" x14ac:dyDescent="0.35">
      <c r="A132" s="4">
        <v>31</v>
      </c>
      <c r="B132" s="5">
        <f t="shared" si="28"/>
        <v>141</v>
      </c>
      <c r="C132" s="5">
        <f t="shared" si="29"/>
        <v>33</v>
      </c>
      <c r="D132" s="7" t="s">
        <v>68</v>
      </c>
      <c r="E132" s="1" t="s">
        <v>46</v>
      </c>
      <c r="F132" s="1">
        <v>2323</v>
      </c>
      <c r="G132" s="1">
        <v>1033</v>
      </c>
      <c r="H132" s="1">
        <f t="shared" si="30"/>
        <v>8264</v>
      </c>
      <c r="I132" s="1">
        <f t="shared" si="23"/>
        <v>2473</v>
      </c>
      <c r="J132" s="1">
        <f t="shared" si="24"/>
        <v>1499</v>
      </c>
      <c r="K132" s="1">
        <f t="shared" si="25"/>
        <v>1030</v>
      </c>
      <c r="L132" s="1">
        <f t="shared" si="26"/>
        <v>634</v>
      </c>
      <c r="M132" s="1">
        <v>1290</v>
      </c>
      <c r="N132" s="1">
        <v>0</v>
      </c>
      <c r="O132" s="1">
        <v>42</v>
      </c>
      <c r="P132" s="1">
        <v>1</v>
      </c>
      <c r="Q132" s="1" t="str">
        <f t="shared" si="27"/>
        <v>54,24,15;55,25,15</v>
      </c>
    </row>
    <row r="133" spans="1:17" x14ac:dyDescent="0.35">
      <c r="A133" s="4">
        <v>31</v>
      </c>
      <c r="B133" s="5">
        <f t="shared" si="28"/>
        <v>141</v>
      </c>
      <c r="C133" s="5">
        <f t="shared" si="29"/>
        <v>33</v>
      </c>
      <c r="D133" s="7" t="s">
        <v>68</v>
      </c>
      <c r="E133" s="1" t="s">
        <v>23</v>
      </c>
      <c r="F133" s="1">
        <v>2323</v>
      </c>
      <c r="G133" s="1">
        <v>793</v>
      </c>
      <c r="H133" s="1">
        <f t="shared" si="30"/>
        <v>6344</v>
      </c>
      <c r="I133" s="1">
        <f t="shared" si="23"/>
        <v>1897</v>
      </c>
      <c r="J133" s="1">
        <f t="shared" si="24"/>
        <v>1150</v>
      </c>
      <c r="K133" s="1">
        <f t="shared" si="25"/>
        <v>790</v>
      </c>
      <c r="L133" s="1">
        <f t="shared" si="26"/>
        <v>486</v>
      </c>
      <c r="M133" s="1">
        <v>1530</v>
      </c>
      <c r="N133" s="1">
        <v>0</v>
      </c>
      <c r="O133" s="1">
        <v>23</v>
      </c>
      <c r="P133" s="1">
        <v>28</v>
      </c>
      <c r="Q133" s="1" t="str">
        <f t="shared" si="27"/>
        <v>45,15,15;46,16,15</v>
      </c>
    </row>
    <row r="134" spans="1:17" x14ac:dyDescent="0.35">
      <c r="A134" s="4">
        <v>32</v>
      </c>
      <c r="B134" s="5">
        <f t="shared" si="28"/>
        <v>145</v>
      </c>
      <c r="C134" s="5">
        <f t="shared" si="29"/>
        <v>33</v>
      </c>
      <c r="D134" s="7" t="s">
        <v>69</v>
      </c>
      <c r="E134" s="1" t="s">
        <v>27</v>
      </c>
      <c r="F134" s="1">
        <v>2465</v>
      </c>
      <c r="G134" s="1">
        <v>1955</v>
      </c>
      <c r="H134" s="1">
        <f t="shared" si="30"/>
        <v>15640</v>
      </c>
      <c r="I134" s="1">
        <f t="shared" si="23"/>
        <v>4686</v>
      </c>
      <c r="J134" s="1">
        <f t="shared" si="24"/>
        <v>2840</v>
      </c>
      <c r="K134" s="1">
        <f t="shared" si="25"/>
        <v>1952</v>
      </c>
      <c r="L134" s="1">
        <f t="shared" si="26"/>
        <v>1201</v>
      </c>
      <c r="M134" s="1">
        <v>510</v>
      </c>
      <c r="N134" s="1">
        <v>0</v>
      </c>
      <c r="O134" s="1">
        <v>17</v>
      </c>
      <c r="P134" s="1">
        <v>0</v>
      </c>
      <c r="Q134" s="1" t="str">
        <f t="shared" si="27"/>
        <v>145,115,15</v>
      </c>
    </row>
    <row r="135" spans="1:17" x14ac:dyDescent="0.35">
      <c r="A135" s="4">
        <v>32</v>
      </c>
      <c r="B135" s="5">
        <f t="shared" si="28"/>
        <v>145</v>
      </c>
      <c r="C135" s="5">
        <f t="shared" si="29"/>
        <v>33</v>
      </c>
      <c r="D135" s="7" t="s">
        <v>69</v>
      </c>
      <c r="E135" s="1" t="s">
        <v>28</v>
      </c>
      <c r="F135" s="1">
        <v>2465</v>
      </c>
      <c r="G135" s="1">
        <v>1541</v>
      </c>
      <c r="H135" s="1">
        <f t="shared" si="30"/>
        <v>12328</v>
      </c>
      <c r="I135" s="1">
        <f t="shared" si="23"/>
        <v>3693</v>
      </c>
      <c r="J135" s="1">
        <f t="shared" si="24"/>
        <v>2238</v>
      </c>
      <c r="K135" s="1">
        <f t="shared" si="25"/>
        <v>1538</v>
      </c>
      <c r="L135" s="1">
        <f t="shared" si="26"/>
        <v>947</v>
      </c>
      <c r="M135" s="1">
        <v>924</v>
      </c>
      <c r="N135" s="1">
        <v>0</v>
      </c>
      <c r="O135" s="1">
        <v>10</v>
      </c>
      <c r="P135" s="1">
        <v>23</v>
      </c>
      <c r="Q135" s="1" t="str">
        <f t="shared" si="27"/>
        <v>74,46,14;75,47,14</v>
      </c>
    </row>
    <row r="136" spans="1:17" x14ac:dyDescent="0.35">
      <c r="A136" s="4">
        <v>32</v>
      </c>
      <c r="B136" s="5">
        <f t="shared" si="28"/>
        <v>145</v>
      </c>
      <c r="C136" s="5">
        <f t="shared" si="29"/>
        <v>33</v>
      </c>
      <c r="D136" s="7" t="s">
        <v>69</v>
      </c>
      <c r="E136" s="1" t="s">
        <v>46</v>
      </c>
      <c r="F136" s="1">
        <v>2465</v>
      </c>
      <c r="G136" s="1">
        <v>1115</v>
      </c>
      <c r="H136" s="1">
        <f t="shared" si="30"/>
        <v>8920</v>
      </c>
      <c r="I136" s="1">
        <f t="shared" si="23"/>
        <v>2670</v>
      </c>
      <c r="J136" s="1">
        <f t="shared" si="24"/>
        <v>1618</v>
      </c>
      <c r="K136" s="1">
        <f t="shared" si="25"/>
        <v>1112</v>
      </c>
      <c r="L136" s="1">
        <f t="shared" si="26"/>
        <v>684</v>
      </c>
      <c r="M136" s="1">
        <v>1350</v>
      </c>
      <c r="N136" s="1">
        <v>0</v>
      </c>
      <c r="O136" s="1">
        <v>10</v>
      </c>
      <c r="P136" s="1">
        <v>35</v>
      </c>
      <c r="Q136" s="1" t="str">
        <f t="shared" si="27"/>
        <v>54,24,15;55,25,15</v>
      </c>
    </row>
    <row r="137" spans="1:17" x14ac:dyDescent="0.35">
      <c r="A137" s="4">
        <v>32</v>
      </c>
      <c r="B137" s="5">
        <f t="shared" si="28"/>
        <v>145</v>
      </c>
      <c r="C137" s="5">
        <f t="shared" si="29"/>
        <v>33</v>
      </c>
      <c r="D137" s="7" t="s">
        <v>69</v>
      </c>
      <c r="E137" s="1" t="s">
        <v>23</v>
      </c>
      <c r="F137" s="1">
        <v>2465</v>
      </c>
      <c r="G137" s="1">
        <v>845</v>
      </c>
      <c r="H137" s="1">
        <f t="shared" si="30"/>
        <v>6760</v>
      </c>
      <c r="I137" s="1">
        <f t="shared" si="23"/>
        <v>2022</v>
      </c>
      <c r="J137" s="1">
        <f t="shared" si="24"/>
        <v>1226</v>
      </c>
      <c r="K137" s="1">
        <f t="shared" si="25"/>
        <v>842</v>
      </c>
      <c r="L137" s="1">
        <f t="shared" si="26"/>
        <v>518</v>
      </c>
      <c r="M137" s="1">
        <v>1620</v>
      </c>
      <c r="N137" s="1">
        <v>0</v>
      </c>
      <c r="O137" s="1">
        <v>19</v>
      </c>
      <c r="P137" s="1">
        <v>35</v>
      </c>
      <c r="Q137" s="1" t="str">
        <f t="shared" si="27"/>
        <v>45,15,15;46,16,15</v>
      </c>
    </row>
    <row r="138" spans="1:17" x14ac:dyDescent="0.35">
      <c r="A138" s="4">
        <v>33</v>
      </c>
      <c r="B138" s="5">
        <f t="shared" si="28"/>
        <v>149</v>
      </c>
      <c r="C138" s="5">
        <f t="shared" si="29"/>
        <v>33</v>
      </c>
      <c r="D138" s="7" t="s">
        <v>70</v>
      </c>
      <c r="E138" s="1" t="s">
        <v>27</v>
      </c>
      <c r="F138" s="1">
        <v>2611</v>
      </c>
      <c r="G138" s="1">
        <v>2071</v>
      </c>
      <c r="H138" s="1">
        <f t="shared" si="30"/>
        <v>16568</v>
      </c>
      <c r="I138" s="1">
        <f t="shared" ref="I138" si="31">QUOTIENT(H138-4-IF(A138&lt;=9,10,IF(AND(A138&gt;9,A138&lt;=26),12,IF(AND(A138&gt;26,A138&lt;=40),14))),10)*3+
IF(MOD(H138-4-IF(A138&lt;=9,10,IF(AND(A138&gt;9,A138&lt;=26),12,IF(AND(A138&gt;26,A138&lt;=40),14))),10)&gt;=7,2,IF(MOD(H138-4-IF(A138&lt;=9,10,IF(AND(A138&gt;9,A138&lt;=26),12,IF(AND(A138&gt;26,A138&lt;=40),14))),10)&lt;4,0,1))</f>
        <v>4965</v>
      </c>
      <c r="J138" s="1">
        <f t="shared" si="24"/>
        <v>3009</v>
      </c>
      <c r="K138" s="1">
        <f t="shared" si="25"/>
        <v>2068</v>
      </c>
      <c r="L138" s="1">
        <f t="shared" si="26"/>
        <v>1273</v>
      </c>
      <c r="M138" s="1">
        <v>540</v>
      </c>
      <c r="N138" s="1">
        <v>0</v>
      </c>
      <c r="O138" s="1">
        <v>17</v>
      </c>
      <c r="P138" s="1">
        <v>1</v>
      </c>
      <c r="Q138" s="1" t="str">
        <f t="shared" ref="Q138:Q169" si="32">IF(P138=0,
(M138+G138)/O138&amp;","&amp;(G138/O138)&amp;","&amp;IF(N138&lt;2,_xlfn.FLOOR.MATH(((M138+G138)/O138-G138/O138)/2),_xlfn.FLOOR.MATH(((M138+G138)/O138-G138/O138)/2)-1),
_xlfn.FLOOR.MATH((M138+G138)/(O138+P138))&amp;","&amp;_xlfn.FLOOR.MATH((G138/(O138+P138)))&amp;","&amp;IF(N138&lt;2,_xlfn.FLOOR.MATH(((M138+G138)/(O138+P138)-G138/(O138+P138))/2),_xlfn.FLOOR.MATH(((M138+G138)/(O138+P138)-G138/(O138+P138))/2)-1)&amp;";"&amp;
_xlfn.CEILING.MATH((M138+G138)/(O138+P138))&amp;","&amp;_xlfn.CEILING.MATH((G138/(O138+P138)))&amp;","&amp;IF(N138&lt;2,_xlfn.CEILING.MATH(((M138+G138)/(O138+P138)-G138/(O138+P138))/2),_xlfn.CEILING.MATH(((M138+G138)/(O138+P138)-G138/(O138+P138))/2)-1))</f>
        <v>145,115,15;146,116,15</v>
      </c>
    </row>
    <row r="139" spans="1:17" x14ac:dyDescent="0.35">
      <c r="A139" s="4">
        <v>33</v>
      </c>
      <c r="B139" s="5">
        <f t="shared" si="28"/>
        <v>149</v>
      </c>
      <c r="C139" s="5">
        <f t="shared" si="29"/>
        <v>33</v>
      </c>
      <c r="D139" s="7" t="s">
        <v>70</v>
      </c>
      <c r="E139" s="1" t="s">
        <v>28</v>
      </c>
      <c r="F139" s="1">
        <v>2611</v>
      </c>
      <c r="G139" s="1">
        <v>1631</v>
      </c>
      <c r="H139" s="1">
        <f t="shared" si="30"/>
        <v>13048</v>
      </c>
      <c r="I139" s="1">
        <f t="shared" ref="I139:I169" si="33">QUOTIENT(H139-4-IF(A139&lt;=9,10,IF(AND(A139&gt;9,A139&lt;=26),12,IF(AND(A139&gt;26,A139&lt;=40),14))),10)*3+
IF(MOD(H139-4-IF(A139&lt;=9,10,IF(AND(A139&gt;9,A139&lt;=26),12,IF(AND(A139&gt;26,A139&lt;=40),14))),10)&gt;=7,2,IF(MOD(H139-4-IF(A139&lt;=9,10,IF(AND(A139&gt;9,A139&lt;=26),12,IF(AND(A139&gt;26,A139&lt;=40),14))),10)&lt;4,0,1))</f>
        <v>3909</v>
      </c>
      <c r="J139" s="1">
        <f t="shared" ref="J139:J169" si="34">QUOTIENT(H139-4-IF(A139&lt;=9,9,IF(AND(A139&gt;9,A139&lt;=26),11,IF(AND(A139&gt;26,A139&lt;=40),13))),11)*2+
IF(MOD(H139-4-IF(A139&lt;=9,9,IF(AND(A139&gt;9,A139&lt;=26),11,IF(AND(A139&gt;26,A139&lt;=40),13))),11)&gt;=6,1,0)</f>
        <v>2369</v>
      </c>
      <c r="K139" s="1">
        <f t="shared" ref="K139:K169" si="35">QUOTIENT(H139-4-IF(A139&lt;=9,8,IF(AND(A139&gt;9,A139&lt;=26),16,IF(AND(A139&gt;26,A139&lt;=40),16))),8)</f>
        <v>1628</v>
      </c>
      <c r="L139" s="1">
        <f t="shared" ref="L139:L169" si="36">QUOTIENT(H139-4-IF(A139&lt;=9,8,IF(AND(A139&gt;9,A139&lt;=26),10,IF(AND(A139&gt;26,A139&lt;=40),12))),13)</f>
        <v>1002</v>
      </c>
      <c r="M139" s="1">
        <v>980</v>
      </c>
      <c r="N139" s="1">
        <v>0</v>
      </c>
      <c r="O139" s="1">
        <v>14</v>
      </c>
      <c r="P139" s="1">
        <v>21</v>
      </c>
      <c r="Q139" s="1" t="str">
        <f t="shared" si="32"/>
        <v>74,46,14;75,47,14</v>
      </c>
    </row>
    <row r="140" spans="1:17" x14ac:dyDescent="0.35">
      <c r="A140" s="4">
        <v>33</v>
      </c>
      <c r="B140" s="5">
        <f t="shared" si="28"/>
        <v>149</v>
      </c>
      <c r="C140" s="5">
        <f t="shared" si="29"/>
        <v>33</v>
      </c>
      <c r="D140" s="7" t="s">
        <v>70</v>
      </c>
      <c r="E140" s="1" t="s">
        <v>46</v>
      </c>
      <c r="F140" s="1">
        <v>2611</v>
      </c>
      <c r="G140" s="1">
        <v>1171</v>
      </c>
      <c r="H140" s="1">
        <f t="shared" si="30"/>
        <v>9368</v>
      </c>
      <c r="I140" s="1">
        <f t="shared" si="33"/>
        <v>2805</v>
      </c>
      <c r="J140" s="1">
        <f t="shared" si="34"/>
        <v>1700</v>
      </c>
      <c r="K140" s="1">
        <f t="shared" si="35"/>
        <v>1168</v>
      </c>
      <c r="L140" s="1">
        <f t="shared" si="36"/>
        <v>719</v>
      </c>
      <c r="M140" s="1">
        <v>1440</v>
      </c>
      <c r="N140" s="1">
        <v>0</v>
      </c>
      <c r="O140" s="1">
        <v>29</v>
      </c>
      <c r="P140" s="1">
        <v>19</v>
      </c>
      <c r="Q140" s="1" t="str">
        <f t="shared" si="32"/>
        <v>54,24,15;55,25,15</v>
      </c>
    </row>
    <row r="141" spans="1:17" x14ac:dyDescent="0.35">
      <c r="A141" s="4">
        <v>33</v>
      </c>
      <c r="B141" s="5">
        <f t="shared" si="28"/>
        <v>149</v>
      </c>
      <c r="C141" s="5">
        <f t="shared" si="29"/>
        <v>33</v>
      </c>
      <c r="D141" s="7" t="s">
        <v>70</v>
      </c>
      <c r="E141" s="1" t="s">
        <v>23</v>
      </c>
      <c r="F141" s="1">
        <v>2611</v>
      </c>
      <c r="G141" s="1">
        <v>901</v>
      </c>
      <c r="H141" s="1">
        <f t="shared" si="30"/>
        <v>7208</v>
      </c>
      <c r="I141" s="1">
        <f t="shared" si="33"/>
        <v>2157</v>
      </c>
      <c r="J141" s="1">
        <f t="shared" si="34"/>
        <v>1307</v>
      </c>
      <c r="K141" s="1">
        <f t="shared" si="35"/>
        <v>898</v>
      </c>
      <c r="L141" s="1">
        <f t="shared" si="36"/>
        <v>553</v>
      </c>
      <c r="M141" s="1">
        <v>1710</v>
      </c>
      <c r="N141" s="1">
        <v>0</v>
      </c>
      <c r="O141" s="1">
        <v>11</v>
      </c>
      <c r="P141" s="1">
        <v>46</v>
      </c>
      <c r="Q141" s="1" t="str">
        <f t="shared" si="32"/>
        <v>45,15,15;46,16,15</v>
      </c>
    </row>
    <row r="142" spans="1:17" x14ac:dyDescent="0.35">
      <c r="A142" s="4">
        <v>34</v>
      </c>
      <c r="B142" s="5">
        <f t="shared" si="28"/>
        <v>153</v>
      </c>
      <c r="C142" s="5">
        <f t="shared" si="29"/>
        <v>33</v>
      </c>
      <c r="D142" s="7" t="s">
        <v>71</v>
      </c>
      <c r="E142" s="1" t="s">
        <v>27</v>
      </c>
      <c r="F142" s="1">
        <v>2761</v>
      </c>
      <c r="G142" s="1">
        <v>2191</v>
      </c>
      <c r="H142" s="1">
        <f t="shared" si="30"/>
        <v>17528</v>
      </c>
      <c r="I142" s="1">
        <f t="shared" si="33"/>
        <v>5253</v>
      </c>
      <c r="J142" s="1">
        <f t="shared" si="34"/>
        <v>3183</v>
      </c>
      <c r="K142" s="1">
        <f t="shared" si="35"/>
        <v>2188</v>
      </c>
      <c r="L142" s="1">
        <f t="shared" si="36"/>
        <v>1347</v>
      </c>
      <c r="M142" s="1">
        <v>570</v>
      </c>
      <c r="N142" s="1">
        <v>0</v>
      </c>
      <c r="O142" s="1">
        <v>13</v>
      </c>
      <c r="P142" s="1">
        <v>6</v>
      </c>
      <c r="Q142" s="1" t="str">
        <f t="shared" si="32"/>
        <v>145,115,15;146,116,15</v>
      </c>
    </row>
    <row r="143" spans="1:17" x14ac:dyDescent="0.35">
      <c r="A143" s="4">
        <v>34</v>
      </c>
      <c r="B143" s="5">
        <f t="shared" si="28"/>
        <v>153</v>
      </c>
      <c r="C143" s="5">
        <f t="shared" si="29"/>
        <v>33</v>
      </c>
      <c r="D143" s="7" t="s">
        <v>71</v>
      </c>
      <c r="E143" s="1" t="s">
        <v>28</v>
      </c>
      <c r="F143" s="1">
        <v>2761</v>
      </c>
      <c r="G143" s="1">
        <v>1725</v>
      </c>
      <c r="H143" s="1">
        <f t="shared" si="30"/>
        <v>13800</v>
      </c>
      <c r="I143" s="1">
        <f t="shared" si="33"/>
        <v>4134</v>
      </c>
      <c r="J143" s="1">
        <f t="shared" si="34"/>
        <v>2506</v>
      </c>
      <c r="K143" s="1">
        <f t="shared" si="35"/>
        <v>1722</v>
      </c>
      <c r="L143" s="1">
        <f t="shared" si="36"/>
        <v>1060</v>
      </c>
      <c r="M143" s="1">
        <v>1036</v>
      </c>
      <c r="N143" s="1">
        <v>0</v>
      </c>
      <c r="O143" s="1">
        <v>14</v>
      </c>
      <c r="P143" s="1">
        <v>23</v>
      </c>
      <c r="Q143" s="1" t="str">
        <f t="shared" si="32"/>
        <v>74,46,14;75,47,14</v>
      </c>
    </row>
    <row r="144" spans="1:17" x14ac:dyDescent="0.35">
      <c r="A144" s="4">
        <v>34</v>
      </c>
      <c r="B144" s="5">
        <f t="shared" si="28"/>
        <v>153</v>
      </c>
      <c r="C144" s="5">
        <f t="shared" si="29"/>
        <v>33</v>
      </c>
      <c r="D144" s="7" t="s">
        <v>71</v>
      </c>
      <c r="E144" s="1" t="s">
        <v>46</v>
      </c>
      <c r="F144" s="1">
        <v>2761</v>
      </c>
      <c r="G144" s="1">
        <v>1231</v>
      </c>
      <c r="H144" s="1">
        <f t="shared" si="30"/>
        <v>9848</v>
      </c>
      <c r="I144" s="1">
        <f t="shared" si="33"/>
        <v>2949</v>
      </c>
      <c r="J144" s="1">
        <f t="shared" si="34"/>
        <v>1787</v>
      </c>
      <c r="K144" s="1">
        <f t="shared" si="35"/>
        <v>1228</v>
      </c>
      <c r="L144" s="1">
        <f t="shared" si="36"/>
        <v>756</v>
      </c>
      <c r="M144" s="1">
        <v>1530</v>
      </c>
      <c r="N144" s="1">
        <v>0</v>
      </c>
      <c r="O144" s="1">
        <v>44</v>
      </c>
      <c r="P144" s="1">
        <v>7</v>
      </c>
      <c r="Q144" s="1" t="str">
        <f t="shared" si="32"/>
        <v>54,24,15;55,25,15</v>
      </c>
    </row>
    <row r="145" spans="1:17" x14ac:dyDescent="0.35">
      <c r="A145" s="4">
        <v>34</v>
      </c>
      <c r="B145" s="5">
        <f t="shared" si="28"/>
        <v>153</v>
      </c>
      <c r="C145" s="5">
        <f t="shared" si="29"/>
        <v>33</v>
      </c>
      <c r="D145" s="7" t="s">
        <v>71</v>
      </c>
      <c r="E145" s="1" t="s">
        <v>23</v>
      </c>
      <c r="F145" s="1">
        <v>2761</v>
      </c>
      <c r="G145" s="1">
        <v>961</v>
      </c>
      <c r="H145" s="1">
        <f t="shared" si="30"/>
        <v>7688</v>
      </c>
      <c r="I145" s="1">
        <f t="shared" si="33"/>
        <v>2301</v>
      </c>
      <c r="J145" s="1">
        <f t="shared" si="34"/>
        <v>1394</v>
      </c>
      <c r="K145" s="1">
        <f t="shared" si="35"/>
        <v>958</v>
      </c>
      <c r="L145" s="1">
        <f t="shared" si="36"/>
        <v>590</v>
      </c>
      <c r="M145" s="1">
        <v>1800</v>
      </c>
      <c r="N145" s="1">
        <v>0</v>
      </c>
      <c r="O145" s="1">
        <v>59</v>
      </c>
      <c r="P145" s="1">
        <v>1</v>
      </c>
      <c r="Q145" s="1" t="str">
        <f t="shared" si="32"/>
        <v>46,16,15;47,17,15</v>
      </c>
    </row>
    <row r="146" spans="1:17" x14ac:dyDescent="0.35">
      <c r="A146" s="4">
        <v>35</v>
      </c>
      <c r="B146" s="5">
        <f t="shared" si="28"/>
        <v>157</v>
      </c>
      <c r="C146" s="5">
        <f t="shared" si="29"/>
        <v>46</v>
      </c>
      <c r="D146" s="7" t="s">
        <v>72</v>
      </c>
      <c r="E146" s="1" t="s">
        <v>27</v>
      </c>
      <c r="F146" s="1">
        <v>2876</v>
      </c>
      <c r="G146" s="1">
        <v>2306</v>
      </c>
      <c r="H146" s="1">
        <f t="shared" si="30"/>
        <v>18448</v>
      </c>
      <c r="I146" s="1">
        <f t="shared" si="33"/>
        <v>5529</v>
      </c>
      <c r="J146" s="1">
        <f t="shared" si="34"/>
        <v>3351</v>
      </c>
      <c r="K146" s="1">
        <f t="shared" si="35"/>
        <v>2303</v>
      </c>
      <c r="L146" s="1">
        <f t="shared" si="36"/>
        <v>1417</v>
      </c>
      <c r="M146" s="1">
        <v>570</v>
      </c>
      <c r="N146" s="1">
        <v>0</v>
      </c>
      <c r="O146" s="1">
        <v>12</v>
      </c>
      <c r="P146" s="1">
        <v>7</v>
      </c>
      <c r="Q146" s="1" t="str">
        <f t="shared" si="32"/>
        <v>151,121,15;152,122,15</v>
      </c>
    </row>
    <row r="147" spans="1:17" x14ac:dyDescent="0.35">
      <c r="A147" s="4">
        <v>35</v>
      </c>
      <c r="B147" s="5">
        <f t="shared" si="28"/>
        <v>157</v>
      </c>
      <c r="C147" s="5">
        <f t="shared" si="29"/>
        <v>46</v>
      </c>
      <c r="D147" s="7" t="s">
        <v>72</v>
      </c>
      <c r="E147" s="1" t="s">
        <v>28</v>
      </c>
      <c r="F147" s="1">
        <v>2876</v>
      </c>
      <c r="G147" s="1">
        <v>1812</v>
      </c>
      <c r="H147" s="1">
        <f t="shared" si="30"/>
        <v>14496</v>
      </c>
      <c r="I147" s="1">
        <f t="shared" si="33"/>
        <v>4343</v>
      </c>
      <c r="J147" s="1">
        <f t="shared" si="34"/>
        <v>2632</v>
      </c>
      <c r="K147" s="1">
        <f t="shared" si="35"/>
        <v>1809</v>
      </c>
      <c r="L147" s="1">
        <f t="shared" si="36"/>
        <v>1113</v>
      </c>
      <c r="M147" s="1">
        <v>1064</v>
      </c>
      <c r="N147" s="1">
        <v>0</v>
      </c>
      <c r="O147" s="1">
        <v>12</v>
      </c>
      <c r="P147" s="1">
        <v>26</v>
      </c>
      <c r="Q147" s="1" t="str">
        <f t="shared" si="32"/>
        <v>75,47,14;76,48,14</v>
      </c>
    </row>
    <row r="148" spans="1:17" x14ac:dyDescent="0.35">
      <c r="A148" s="4">
        <v>35</v>
      </c>
      <c r="B148" s="5">
        <f t="shared" si="28"/>
        <v>157</v>
      </c>
      <c r="C148" s="5">
        <f t="shared" si="29"/>
        <v>46</v>
      </c>
      <c r="D148" s="7" t="s">
        <v>72</v>
      </c>
      <c r="E148" s="1" t="s">
        <v>46</v>
      </c>
      <c r="F148" s="1">
        <v>2876</v>
      </c>
      <c r="G148" s="1">
        <v>1286</v>
      </c>
      <c r="H148" s="1">
        <f t="shared" si="30"/>
        <v>10288</v>
      </c>
      <c r="I148" s="1">
        <f t="shared" si="33"/>
        <v>3081</v>
      </c>
      <c r="J148" s="1">
        <f t="shared" si="34"/>
        <v>1867</v>
      </c>
      <c r="K148" s="1">
        <f t="shared" si="35"/>
        <v>1283</v>
      </c>
      <c r="L148" s="1">
        <f t="shared" si="36"/>
        <v>790</v>
      </c>
      <c r="M148" s="1">
        <v>1590</v>
      </c>
      <c r="N148" s="1">
        <v>0</v>
      </c>
      <c r="O148" s="1">
        <v>39</v>
      </c>
      <c r="P148" s="1">
        <v>14</v>
      </c>
      <c r="Q148" s="1" t="str">
        <f t="shared" si="32"/>
        <v>54,24,15;55,25,15</v>
      </c>
    </row>
    <row r="149" spans="1:17" x14ac:dyDescent="0.35">
      <c r="A149" s="4">
        <v>35</v>
      </c>
      <c r="B149" s="5">
        <f t="shared" si="28"/>
        <v>157</v>
      </c>
      <c r="C149" s="5">
        <f t="shared" si="29"/>
        <v>46</v>
      </c>
      <c r="D149" s="7" t="s">
        <v>72</v>
      </c>
      <c r="E149" s="1" t="s">
        <v>23</v>
      </c>
      <c r="F149" s="1">
        <v>2876</v>
      </c>
      <c r="G149" s="1">
        <v>986</v>
      </c>
      <c r="H149" s="1">
        <f t="shared" si="30"/>
        <v>7888</v>
      </c>
      <c r="I149" s="1">
        <f t="shared" si="33"/>
        <v>2361</v>
      </c>
      <c r="J149" s="1">
        <f t="shared" si="34"/>
        <v>1431</v>
      </c>
      <c r="K149" s="1">
        <f t="shared" si="35"/>
        <v>983</v>
      </c>
      <c r="L149" s="1">
        <f t="shared" si="36"/>
        <v>605</v>
      </c>
      <c r="M149" s="1">
        <v>1890</v>
      </c>
      <c r="N149" s="1">
        <v>0</v>
      </c>
      <c r="O149" s="1">
        <v>22</v>
      </c>
      <c r="P149" s="1">
        <v>41</v>
      </c>
      <c r="Q149" s="1" t="str">
        <f t="shared" si="32"/>
        <v>45,15,15;46,16,15</v>
      </c>
    </row>
    <row r="150" spans="1:17" x14ac:dyDescent="0.35">
      <c r="A150" s="4">
        <v>36</v>
      </c>
      <c r="B150" s="5">
        <f t="shared" si="28"/>
        <v>161</v>
      </c>
      <c r="C150" s="5">
        <f t="shared" si="29"/>
        <v>46</v>
      </c>
      <c r="D150" s="7" t="s">
        <v>73</v>
      </c>
      <c r="E150" s="1" t="s">
        <v>27</v>
      </c>
      <c r="F150" s="1">
        <v>3034</v>
      </c>
      <c r="G150" s="1">
        <v>2434</v>
      </c>
      <c r="H150" s="1">
        <f t="shared" si="30"/>
        <v>19472</v>
      </c>
      <c r="I150" s="1">
        <f t="shared" si="33"/>
        <v>5836</v>
      </c>
      <c r="J150" s="1">
        <f t="shared" si="34"/>
        <v>3537</v>
      </c>
      <c r="K150" s="1">
        <f t="shared" si="35"/>
        <v>2431</v>
      </c>
      <c r="L150" s="1">
        <f t="shared" si="36"/>
        <v>1496</v>
      </c>
      <c r="M150" s="1">
        <v>600</v>
      </c>
      <c r="N150" s="1">
        <v>0</v>
      </c>
      <c r="O150" s="1">
        <v>6</v>
      </c>
      <c r="P150" s="1">
        <v>14</v>
      </c>
      <c r="Q150" s="1" t="str">
        <f t="shared" si="32"/>
        <v>151,121,15;152,122,15</v>
      </c>
    </row>
    <row r="151" spans="1:17" x14ac:dyDescent="0.35">
      <c r="A151" s="4">
        <v>36</v>
      </c>
      <c r="B151" s="5">
        <f t="shared" si="28"/>
        <v>161</v>
      </c>
      <c r="C151" s="5">
        <f t="shared" si="29"/>
        <v>46</v>
      </c>
      <c r="D151" s="7" t="s">
        <v>73</v>
      </c>
      <c r="E151" s="1" t="s">
        <v>28</v>
      </c>
      <c r="F151" s="1">
        <v>3034</v>
      </c>
      <c r="G151" s="1">
        <v>1914</v>
      </c>
      <c r="H151" s="1">
        <f t="shared" si="30"/>
        <v>15312</v>
      </c>
      <c r="I151" s="1">
        <f t="shared" si="33"/>
        <v>4588</v>
      </c>
      <c r="J151" s="1">
        <f t="shared" si="34"/>
        <v>2780</v>
      </c>
      <c r="K151" s="1">
        <f t="shared" si="35"/>
        <v>1911</v>
      </c>
      <c r="L151" s="1">
        <f t="shared" si="36"/>
        <v>1176</v>
      </c>
      <c r="M151" s="1">
        <v>1120</v>
      </c>
      <c r="N151" s="1">
        <v>0</v>
      </c>
      <c r="O151" s="1">
        <v>6</v>
      </c>
      <c r="P151" s="1">
        <v>34</v>
      </c>
      <c r="Q151" s="1" t="str">
        <f t="shared" si="32"/>
        <v>75,47,14;76,48,14</v>
      </c>
    </row>
    <row r="152" spans="1:17" x14ac:dyDescent="0.35">
      <c r="A152" s="4">
        <v>36</v>
      </c>
      <c r="B152" s="5">
        <f t="shared" si="28"/>
        <v>161</v>
      </c>
      <c r="C152" s="5">
        <f t="shared" si="29"/>
        <v>46</v>
      </c>
      <c r="D152" s="7" t="s">
        <v>73</v>
      </c>
      <c r="E152" s="1" t="s">
        <v>46</v>
      </c>
      <c r="F152" s="1">
        <v>3034</v>
      </c>
      <c r="G152" s="1">
        <v>1354</v>
      </c>
      <c r="H152" s="1">
        <f t="shared" si="30"/>
        <v>10832</v>
      </c>
      <c r="I152" s="1">
        <f t="shared" si="33"/>
        <v>3244</v>
      </c>
      <c r="J152" s="1">
        <f t="shared" si="34"/>
        <v>1966</v>
      </c>
      <c r="K152" s="1">
        <f t="shared" si="35"/>
        <v>1351</v>
      </c>
      <c r="L152" s="1">
        <f t="shared" si="36"/>
        <v>832</v>
      </c>
      <c r="M152" s="1">
        <v>1680</v>
      </c>
      <c r="N152" s="1">
        <v>0</v>
      </c>
      <c r="O152" s="1">
        <v>46</v>
      </c>
      <c r="P152" s="1">
        <v>10</v>
      </c>
      <c r="Q152" s="1" t="str">
        <f t="shared" si="32"/>
        <v>54,24,15;55,25,15</v>
      </c>
    </row>
    <row r="153" spans="1:17" x14ac:dyDescent="0.35">
      <c r="A153" s="4">
        <v>36</v>
      </c>
      <c r="B153" s="5">
        <f t="shared" si="28"/>
        <v>161</v>
      </c>
      <c r="C153" s="5">
        <f t="shared" si="29"/>
        <v>46</v>
      </c>
      <c r="D153" s="7" t="s">
        <v>73</v>
      </c>
      <c r="E153" s="1" t="s">
        <v>23</v>
      </c>
      <c r="F153" s="1">
        <v>3034</v>
      </c>
      <c r="G153" s="1">
        <v>1054</v>
      </c>
      <c r="H153" s="1">
        <f t="shared" si="30"/>
        <v>8432</v>
      </c>
      <c r="I153" s="1">
        <f t="shared" si="33"/>
        <v>2524</v>
      </c>
      <c r="J153" s="1">
        <f t="shared" si="34"/>
        <v>1530</v>
      </c>
      <c r="K153" s="1">
        <f t="shared" si="35"/>
        <v>1051</v>
      </c>
      <c r="L153" s="1">
        <f t="shared" si="36"/>
        <v>647</v>
      </c>
      <c r="M153" s="1">
        <v>1980</v>
      </c>
      <c r="N153" s="1">
        <v>0</v>
      </c>
      <c r="O153" s="1">
        <v>2</v>
      </c>
      <c r="P153" s="1">
        <v>64</v>
      </c>
      <c r="Q153" s="1" t="str">
        <f t="shared" si="32"/>
        <v>45,15,15;46,16,15</v>
      </c>
    </row>
    <row r="154" spans="1:17" x14ac:dyDescent="0.35">
      <c r="A154" s="4">
        <v>37</v>
      </c>
      <c r="B154" s="5">
        <f t="shared" si="28"/>
        <v>165</v>
      </c>
      <c r="C154" s="5">
        <f t="shared" si="29"/>
        <v>46</v>
      </c>
      <c r="D154" s="7" t="s">
        <v>74</v>
      </c>
      <c r="E154" s="1" t="s">
        <v>27</v>
      </c>
      <c r="F154" s="1">
        <v>3196</v>
      </c>
      <c r="G154" s="1">
        <v>2566</v>
      </c>
      <c r="H154" s="1">
        <f t="shared" si="30"/>
        <v>20528</v>
      </c>
      <c r="I154" s="1">
        <f t="shared" si="33"/>
        <v>6153</v>
      </c>
      <c r="J154" s="1">
        <f t="shared" si="34"/>
        <v>3729</v>
      </c>
      <c r="K154" s="1">
        <f t="shared" si="35"/>
        <v>2563</v>
      </c>
      <c r="L154" s="1">
        <f t="shared" si="36"/>
        <v>1577</v>
      </c>
      <c r="M154" s="1">
        <v>630</v>
      </c>
      <c r="N154" s="1">
        <v>0</v>
      </c>
      <c r="O154" s="1">
        <v>17</v>
      </c>
      <c r="P154" s="1">
        <v>4</v>
      </c>
      <c r="Q154" s="1" t="str">
        <f t="shared" si="32"/>
        <v>152,122,15;153,123,15</v>
      </c>
    </row>
    <row r="155" spans="1:17" x14ac:dyDescent="0.35">
      <c r="A155" s="4">
        <v>37</v>
      </c>
      <c r="B155" s="5">
        <f t="shared" si="28"/>
        <v>165</v>
      </c>
      <c r="C155" s="5">
        <f t="shared" si="29"/>
        <v>46</v>
      </c>
      <c r="D155" s="7" t="s">
        <v>74</v>
      </c>
      <c r="E155" s="1" t="s">
        <v>28</v>
      </c>
      <c r="F155" s="1">
        <v>3196</v>
      </c>
      <c r="G155" s="1">
        <v>1992</v>
      </c>
      <c r="H155" s="1">
        <f t="shared" si="30"/>
        <v>15936</v>
      </c>
      <c r="I155" s="1">
        <f t="shared" si="33"/>
        <v>4775</v>
      </c>
      <c r="J155" s="1">
        <f t="shared" si="34"/>
        <v>2894</v>
      </c>
      <c r="K155" s="1">
        <f t="shared" si="35"/>
        <v>1989</v>
      </c>
      <c r="L155" s="1">
        <f t="shared" si="36"/>
        <v>1224</v>
      </c>
      <c r="M155" s="1">
        <v>1204</v>
      </c>
      <c r="N155" s="1">
        <v>0</v>
      </c>
      <c r="O155" s="1">
        <v>29</v>
      </c>
      <c r="P155" s="1">
        <v>14</v>
      </c>
      <c r="Q155" s="1" t="str">
        <f t="shared" si="32"/>
        <v>74,46,14;75,47,14</v>
      </c>
    </row>
    <row r="156" spans="1:17" x14ac:dyDescent="0.35">
      <c r="A156" s="4">
        <v>37</v>
      </c>
      <c r="B156" s="5">
        <f t="shared" si="28"/>
        <v>165</v>
      </c>
      <c r="C156" s="5">
        <f t="shared" si="29"/>
        <v>46</v>
      </c>
      <c r="D156" s="7" t="s">
        <v>74</v>
      </c>
      <c r="E156" s="1" t="s">
        <v>46</v>
      </c>
      <c r="F156" s="1">
        <v>3196</v>
      </c>
      <c r="G156" s="1">
        <v>1426</v>
      </c>
      <c r="H156" s="1">
        <f t="shared" si="30"/>
        <v>11408</v>
      </c>
      <c r="I156" s="1">
        <f t="shared" si="33"/>
        <v>3417</v>
      </c>
      <c r="J156" s="1">
        <f t="shared" si="34"/>
        <v>2071</v>
      </c>
      <c r="K156" s="1">
        <f t="shared" si="35"/>
        <v>1423</v>
      </c>
      <c r="L156" s="1">
        <f t="shared" si="36"/>
        <v>876</v>
      </c>
      <c r="M156" s="1">
        <v>1770</v>
      </c>
      <c r="N156" s="1">
        <v>0</v>
      </c>
      <c r="O156" s="1">
        <v>49</v>
      </c>
      <c r="P156" s="1">
        <v>10</v>
      </c>
      <c r="Q156" s="1" t="str">
        <f t="shared" si="32"/>
        <v>54,24,15;55,25,15</v>
      </c>
    </row>
    <row r="157" spans="1:17" x14ac:dyDescent="0.35">
      <c r="A157" s="4">
        <v>37</v>
      </c>
      <c r="B157" s="5">
        <f t="shared" si="28"/>
        <v>165</v>
      </c>
      <c r="C157" s="5">
        <f t="shared" si="29"/>
        <v>46</v>
      </c>
      <c r="D157" s="7" t="s">
        <v>74</v>
      </c>
      <c r="E157" s="1" t="s">
        <v>23</v>
      </c>
      <c r="F157" s="1">
        <v>3196</v>
      </c>
      <c r="G157" s="1">
        <v>1096</v>
      </c>
      <c r="H157" s="1">
        <f t="shared" si="30"/>
        <v>8768</v>
      </c>
      <c r="I157" s="1">
        <f t="shared" si="33"/>
        <v>2625</v>
      </c>
      <c r="J157" s="1">
        <f t="shared" si="34"/>
        <v>1591</v>
      </c>
      <c r="K157" s="1">
        <f t="shared" si="35"/>
        <v>1093</v>
      </c>
      <c r="L157" s="1">
        <f t="shared" si="36"/>
        <v>673</v>
      </c>
      <c r="M157" s="1">
        <v>2100</v>
      </c>
      <c r="N157" s="1">
        <v>0</v>
      </c>
      <c r="O157" s="1">
        <v>24</v>
      </c>
      <c r="P157" s="1">
        <v>46</v>
      </c>
      <c r="Q157" s="1" t="str">
        <f t="shared" si="32"/>
        <v>45,15,15;46,16,15</v>
      </c>
    </row>
    <row r="158" spans="1:17" x14ac:dyDescent="0.35">
      <c r="A158" s="4">
        <v>38</v>
      </c>
      <c r="B158" s="5">
        <f t="shared" si="28"/>
        <v>169</v>
      </c>
      <c r="C158" s="5">
        <f t="shared" si="29"/>
        <v>46</v>
      </c>
      <c r="D158" s="7" t="s">
        <v>75</v>
      </c>
      <c r="E158" s="1" t="s">
        <v>27</v>
      </c>
      <c r="F158" s="1">
        <v>3362</v>
      </c>
      <c r="G158" s="1">
        <v>2702</v>
      </c>
      <c r="H158" s="1">
        <f t="shared" si="30"/>
        <v>21616</v>
      </c>
      <c r="I158" s="1">
        <f t="shared" si="33"/>
        <v>6479</v>
      </c>
      <c r="J158" s="1">
        <f t="shared" si="34"/>
        <v>3927</v>
      </c>
      <c r="K158" s="1">
        <f t="shared" si="35"/>
        <v>2699</v>
      </c>
      <c r="L158" s="1">
        <f t="shared" si="36"/>
        <v>1661</v>
      </c>
      <c r="M158" s="1">
        <v>660</v>
      </c>
      <c r="N158" s="1">
        <v>0</v>
      </c>
      <c r="O158" s="1">
        <v>4</v>
      </c>
      <c r="P158" s="1">
        <v>18</v>
      </c>
      <c r="Q158" s="1" t="str">
        <f t="shared" si="32"/>
        <v>152,122,15;153,123,15</v>
      </c>
    </row>
    <row r="159" spans="1:17" x14ac:dyDescent="0.35">
      <c r="A159" s="4">
        <v>38</v>
      </c>
      <c r="B159" s="5">
        <f t="shared" si="28"/>
        <v>169</v>
      </c>
      <c r="C159" s="5">
        <f t="shared" si="29"/>
        <v>46</v>
      </c>
      <c r="D159" s="7" t="s">
        <v>75</v>
      </c>
      <c r="E159" s="1" t="s">
        <v>28</v>
      </c>
      <c r="F159" s="1">
        <v>3362</v>
      </c>
      <c r="G159" s="1">
        <v>2102</v>
      </c>
      <c r="H159" s="1">
        <f t="shared" si="30"/>
        <v>16816</v>
      </c>
      <c r="I159" s="1">
        <f t="shared" si="33"/>
        <v>5039</v>
      </c>
      <c r="J159" s="1">
        <f t="shared" si="34"/>
        <v>3054</v>
      </c>
      <c r="K159" s="1">
        <f t="shared" si="35"/>
        <v>2099</v>
      </c>
      <c r="L159" s="1">
        <f t="shared" si="36"/>
        <v>1292</v>
      </c>
      <c r="M159" s="1">
        <v>1260</v>
      </c>
      <c r="N159" s="1">
        <v>0</v>
      </c>
      <c r="O159" s="1">
        <v>13</v>
      </c>
      <c r="P159" s="1">
        <v>32</v>
      </c>
      <c r="Q159" s="1" t="str">
        <f t="shared" si="32"/>
        <v>74,46,14;75,47,14</v>
      </c>
    </row>
    <row r="160" spans="1:17" x14ac:dyDescent="0.35">
      <c r="A160" s="4">
        <v>38</v>
      </c>
      <c r="B160" s="5">
        <f t="shared" si="28"/>
        <v>169</v>
      </c>
      <c r="C160" s="5">
        <f t="shared" si="29"/>
        <v>46</v>
      </c>
      <c r="D160" s="7" t="s">
        <v>75</v>
      </c>
      <c r="E160" s="1" t="s">
        <v>46</v>
      </c>
      <c r="F160" s="1">
        <v>3362</v>
      </c>
      <c r="G160" s="1">
        <v>1502</v>
      </c>
      <c r="H160" s="1">
        <f t="shared" si="30"/>
        <v>12016</v>
      </c>
      <c r="I160" s="1">
        <f t="shared" si="33"/>
        <v>3599</v>
      </c>
      <c r="J160" s="1">
        <f t="shared" si="34"/>
        <v>2181</v>
      </c>
      <c r="K160" s="1">
        <f t="shared" si="35"/>
        <v>1499</v>
      </c>
      <c r="L160" s="1">
        <f t="shared" si="36"/>
        <v>923</v>
      </c>
      <c r="M160" s="1">
        <v>1860</v>
      </c>
      <c r="N160" s="1">
        <v>0</v>
      </c>
      <c r="O160" s="1">
        <v>48</v>
      </c>
      <c r="P160" s="1">
        <v>14</v>
      </c>
      <c r="Q160" s="1" t="str">
        <f t="shared" si="32"/>
        <v>54,24,15;55,25,15</v>
      </c>
    </row>
    <row r="161" spans="1:17" x14ac:dyDescent="0.35">
      <c r="A161" s="4">
        <v>38</v>
      </c>
      <c r="B161" s="5">
        <f t="shared" si="28"/>
        <v>169</v>
      </c>
      <c r="C161" s="5">
        <f t="shared" si="29"/>
        <v>46</v>
      </c>
      <c r="D161" s="7" t="s">
        <v>75</v>
      </c>
      <c r="E161" s="1" t="s">
        <v>23</v>
      </c>
      <c r="F161" s="1">
        <v>3362</v>
      </c>
      <c r="G161" s="1">
        <v>1142</v>
      </c>
      <c r="H161" s="1">
        <f t="shared" si="30"/>
        <v>9136</v>
      </c>
      <c r="I161" s="1">
        <f t="shared" si="33"/>
        <v>2735</v>
      </c>
      <c r="J161" s="1">
        <f t="shared" si="34"/>
        <v>1658</v>
      </c>
      <c r="K161" s="1">
        <f t="shared" si="35"/>
        <v>1139</v>
      </c>
      <c r="L161" s="1">
        <f t="shared" si="36"/>
        <v>701</v>
      </c>
      <c r="M161" s="1">
        <v>2220</v>
      </c>
      <c r="N161" s="1">
        <v>0</v>
      </c>
      <c r="O161" s="1">
        <v>42</v>
      </c>
      <c r="P161" s="1">
        <v>32</v>
      </c>
      <c r="Q161" s="1" t="str">
        <f t="shared" si="32"/>
        <v>45,15,15;46,16,15</v>
      </c>
    </row>
    <row r="162" spans="1:17" x14ac:dyDescent="0.35">
      <c r="A162" s="4">
        <v>38</v>
      </c>
      <c r="B162" s="5">
        <f t="shared" si="28"/>
        <v>169</v>
      </c>
      <c r="C162" s="5">
        <f t="shared" si="29"/>
        <v>46</v>
      </c>
      <c r="D162" s="7" t="s">
        <v>76</v>
      </c>
      <c r="E162" s="1" t="s">
        <v>27</v>
      </c>
      <c r="F162" s="1">
        <v>3532</v>
      </c>
      <c r="G162" s="1">
        <v>2812</v>
      </c>
      <c r="H162" s="1">
        <f t="shared" si="30"/>
        <v>22496</v>
      </c>
      <c r="I162" s="1">
        <f t="shared" si="33"/>
        <v>6743</v>
      </c>
      <c r="J162" s="1">
        <f t="shared" si="34"/>
        <v>4087</v>
      </c>
      <c r="K162" s="1">
        <f t="shared" si="35"/>
        <v>2809</v>
      </c>
      <c r="L162" s="1">
        <f t="shared" si="36"/>
        <v>1729</v>
      </c>
      <c r="M162" s="1">
        <v>720</v>
      </c>
      <c r="N162" s="1">
        <v>0</v>
      </c>
      <c r="O162" s="1">
        <v>20</v>
      </c>
      <c r="P162" s="1">
        <v>4</v>
      </c>
      <c r="Q162" s="1" t="str">
        <f t="shared" si="32"/>
        <v>147,117,15;148,118,15</v>
      </c>
    </row>
    <row r="163" spans="1:17" x14ac:dyDescent="0.35">
      <c r="A163" s="4">
        <v>38</v>
      </c>
      <c r="B163" s="5">
        <f t="shared" si="28"/>
        <v>169</v>
      </c>
      <c r="C163" s="5">
        <f t="shared" si="29"/>
        <v>46</v>
      </c>
      <c r="D163" s="7" t="s">
        <v>76</v>
      </c>
      <c r="E163" s="1" t="s">
        <v>28</v>
      </c>
      <c r="F163" s="1">
        <v>3532</v>
      </c>
      <c r="G163" s="1">
        <v>2216</v>
      </c>
      <c r="H163" s="1">
        <f t="shared" si="30"/>
        <v>17728</v>
      </c>
      <c r="I163" s="1">
        <f t="shared" si="33"/>
        <v>5313</v>
      </c>
      <c r="J163" s="1">
        <f t="shared" si="34"/>
        <v>3220</v>
      </c>
      <c r="K163" s="1">
        <f t="shared" si="35"/>
        <v>2213</v>
      </c>
      <c r="L163" s="1">
        <f t="shared" si="36"/>
        <v>1362</v>
      </c>
      <c r="M163" s="1">
        <v>1316</v>
      </c>
      <c r="N163" s="1">
        <v>0</v>
      </c>
      <c r="O163" s="1">
        <v>40</v>
      </c>
      <c r="P163" s="1">
        <v>7</v>
      </c>
      <c r="Q163" s="1" t="str">
        <f t="shared" si="32"/>
        <v>75,47,14;76,48,14</v>
      </c>
    </row>
    <row r="164" spans="1:17" x14ac:dyDescent="0.35">
      <c r="A164" s="4">
        <v>38</v>
      </c>
      <c r="B164" s="5">
        <f t="shared" si="28"/>
        <v>169</v>
      </c>
      <c r="C164" s="5">
        <f t="shared" si="29"/>
        <v>46</v>
      </c>
      <c r="D164" s="7" t="s">
        <v>76</v>
      </c>
      <c r="E164" s="1" t="s">
        <v>46</v>
      </c>
      <c r="F164" s="1">
        <v>3532</v>
      </c>
      <c r="G164" s="1">
        <v>1582</v>
      </c>
      <c r="H164" s="1">
        <f t="shared" si="30"/>
        <v>12656</v>
      </c>
      <c r="I164" s="1">
        <f t="shared" si="33"/>
        <v>3791</v>
      </c>
      <c r="J164" s="1">
        <f t="shared" si="34"/>
        <v>2298</v>
      </c>
      <c r="K164" s="1">
        <f t="shared" si="35"/>
        <v>1579</v>
      </c>
      <c r="L164" s="1">
        <f t="shared" si="36"/>
        <v>972</v>
      </c>
      <c r="M164" s="1">
        <v>1950</v>
      </c>
      <c r="N164" s="1">
        <v>0</v>
      </c>
      <c r="O164" s="1">
        <v>43</v>
      </c>
      <c r="P164" s="1">
        <v>22</v>
      </c>
      <c r="Q164" s="1" t="str">
        <f t="shared" si="32"/>
        <v>54,24,15;55,25,15</v>
      </c>
    </row>
    <row r="165" spans="1:17" x14ac:dyDescent="0.35">
      <c r="A165" s="4">
        <v>38</v>
      </c>
      <c r="B165" s="5">
        <f t="shared" si="28"/>
        <v>169</v>
      </c>
      <c r="C165" s="5">
        <f t="shared" si="29"/>
        <v>46</v>
      </c>
      <c r="D165" s="7" t="s">
        <v>76</v>
      </c>
      <c r="E165" s="1" t="s">
        <v>23</v>
      </c>
      <c r="F165" s="1">
        <v>3532</v>
      </c>
      <c r="G165" s="1">
        <v>1222</v>
      </c>
      <c r="H165" s="1">
        <f t="shared" si="30"/>
        <v>9776</v>
      </c>
      <c r="I165" s="1">
        <f t="shared" si="33"/>
        <v>2927</v>
      </c>
      <c r="J165" s="1">
        <f t="shared" si="34"/>
        <v>1774</v>
      </c>
      <c r="K165" s="1">
        <f t="shared" si="35"/>
        <v>1219</v>
      </c>
      <c r="L165" s="1">
        <f t="shared" si="36"/>
        <v>750</v>
      </c>
      <c r="M165" s="1">
        <v>2310</v>
      </c>
      <c r="N165" s="1">
        <v>0</v>
      </c>
      <c r="O165" s="1">
        <v>10</v>
      </c>
      <c r="P165" s="1">
        <v>67</v>
      </c>
      <c r="Q165" s="1" t="str">
        <f t="shared" si="32"/>
        <v>45,15,15;46,16,15</v>
      </c>
    </row>
    <row r="166" spans="1:17" x14ac:dyDescent="0.35">
      <c r="A166" s="4">
        <v>40</v>
      </c>
      <c r="B166" s="5">
        <f t="shared" si="28"/>
        <v>177</v>
      </c>
      <c r="C166" s="5">
        <f t="shared" si="29"/>
        <v>46</v>
      </c>
      <c r="D166" s="7" t="s">
        <v>77</v>
      </c>
      <c r="E166" s="1" t="s">
        <v>27</v>
      </c>
      <c r="F166" s="1">
        <v>3706</v>
      </c>
      <c r="G166" s="1">
        <v>2956</v>
      </c>
      <c r="H166" s="1">
        <f t="shared" si="30"/>
        <v>23648</v>
      </c>
      <c r="I166" s="1">
        <f t="shared" si="33"/>
        <v>7089</v>
      </c>
      <c r="J166" s="1">
        <f t="shared" si="34"/>
        <v>4296</v>
      </c>
      <c r="K166" s="1">
        <f t="shared" si="35"/>
        <v>2953</v>
      </c>
      <c r="L166" s="1">
        <f t="shared" si="36"/>
        <v>1817</v>
      </c>
      <c r="M166" s="1">
        <v>750</v>
      </c>
      <c r="N166" s="1">
        <v>0</v>
      </c>
      <c r="O166" s="1">
        <v>19</v>
      </c>
      <c r="P166" s="1">
        <v>6</v>
      </c>
      <c r="Q166" s="1" t="str">
        <f t="shared" si="32"/>
        <v>148,118,15;149,119,15</v>
      </c>
    </row>
    <row r="167" spans="1:17" x14ac:dyDescent="0.35">
      <c r="A167" s="4">
        <v>40</v>
      </c>
      <c r="B167" s="5">
        <f t="shared" si="28"/>
        <v>177</v>
      </c>
      <c r="C167" s="5">
        <f t="shared" si="29"/>
        <v>46</v>
      </c>
      <c r="D167" s="7" t="s">
        <v>77</v>
      </c>
      <c r="E167" s="1" t="s">
        <v>28</v>
      </c>
      <c r="F167" s="1">
        <v>3706</v>
      </c>
      <c r="G167" s="1">
        <v>2334</v>
      </c>
      <c r="H167" s="1">
        <f t="shared" si="30"/>
        <v>18672</v>
      </c>
      <c r="I167" s="1">
        <f t="shared" si="33"/>
        <v>5596</v>
      </c>
      <c r="J167" s="1">
        <f t="shared" si="34"/>
        <v>3391</v>
      </c>
      <c r="K167" s="1">
        <f t="shared" si="35"/>
        <v>2331</v>
      </c>
      <c r="L167" s="1">
        <f t="shared" si="36"/>
        <v>1435</v>
      </c>
      <c r="M167" s="1">
        <v>1372</v>
      </c>
      <c r="N167" s="1">
        <v>0</v>
      </c>
      <c r="O167" s="1">
        <v>18</v>
      </c>
      <c r="P167" s="1">
        <v>31</v>
      </c>
      <c r="Q167" s="1" t="str">
        <f t="shared" si="32"/>
        <v>75,47,14;76,48,14</v>
      </c>
    </row>
    <row r="168" spans="1:17" x14ac:dyDescent="0.35">
      <c r="A168" s="4">
        <v>40</v>
      </c>
      <c r="B168" s="5">
        <f t="shared" si="28"/>
        <v>177</v>
      </c>
      <c r="C168" s="5">
        <f t="shared" si="29"/>
        <v>46</v>
      </c>
      <c r="D168" s="7" t="s">
        <v>77</v>
      </c>
      <c r="E168" s="1" t="s">
        <v>46</v>
      </c>
      <c r="F168" s="1">
        <v>3706</v>
      </c>
      <c r="G168" s="1">
        <v>1666</v>
      </c>
      <c r="H168" s="1">
        <f t="shared" si="30"/>
        <v>13328</v>
      </c>
      <c r="I168" s="1">
        <f t="shared" si="33"/>
        <v>3993</v>
      </c>
      <c r="J168" s="1">
        <f t="shared" si="34"/>
        <v>2420</v>
      </c>
      <c r="K168" s="1">
        <f t="shared" si="35"/>
        <v>1663</v>
      </c>
      <c r="L168" s="1">
        <f t="shared" si="36"/>
        <v>1024</v>
      </c>
      <c r="M168" s="1">
        <v>2040</v>
      </c>
      <c r="N168" s="1">
        <v>0</v>
      </c>
      <c r="O168" s="1">
        <v>34</v>
      </c>
      <c r="P168" s="1">
        <v>34</v>
      </c>
      <c r="Q168" s="1" t="str">
        <f t="shared" si="32"/>
        <v>54,24,15;55,25,15</v>
      </c>
    </row>
    <row r="169" spans="1:17" x14ac:dyDescent="0.35">
      <c r="A169" s="4">
        <v>40</v>
      </c>
      <c r="B169" s="5">
        <f t="shared" si="28"/>
        <v>177</v>
      </c>
      <c r="C169" s="5">
        <f t="shared" si="29"/>
        <v>46</v>
      </c>
      <c r="D169" s="7" t="s">
        <v>77</v>
      </c>
      <c r="E169" s="1" t="s">
        <v>23</v>
      </c>
      <c r="F169" s="1">
        <v>3706</v>
      </c>
      <c r="G169" s="1">
        <v>1276</v>
      </c>
      <c r="H169" s="1">
        <f t="shared" si="30"/>
        <v>10208</v>
      </c>
      <c r="I169" s="1">
        <f t="shared" si="33"/>
        <v>3057</v>
      </c>
      <c r="J169" s="1">
        <f t="shared" si="34"/>
        <v>1852</v>
      </c>
      <c r="K169" s="1">
        <f t="shared" si="35"/>
        <v>1273</v>
      </c>
      <c r="L169" s="1">
        <f t="shared" si="36"/>
        <v>784</v>
      </c>
      <c r="M169" s="1">
        <v>2430</v>
      </c>
      <c r="N169" s="1">
        <v>0</v>
      </c>
      <c r="O169" s="1">
        <v>20</v>
      </c>
      <c r="P169" s="1">
        <v>61</v>
      </c>
      <c r="Q169" s="1" t="str">
        <f t="shared" si="32"/>
        <v>45,15,15;46,16,15</v>
      </c>
    </row>
  </sheetData>
  <phoneticPr fontId="2" type="noConversion"/>
  <pageMargins left="0.7" right="0.7" top="0.75" bottom="0.75" header="0.3" footer="0.3"/>
  <pageSetup paperSize="9" orientation="portrait" verticalDpi="0" r:id="rId1"/>
  <ignoredErrors>
    <ignoredError sqref="D14:D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5663-28DF-4CB2-BD4D-893D7FA9FABE}">
  <dimension ref="A1:A46"/>
  <sheetViews>
    <sheetView workbookViewId="0">
      <selection activeCell="C5" sqref="C5"/>
    </sheetView>
  </sheetViews>
  <sheetFormatPr defaultRowHeight="14.5" x14ac:dyDescent="0.35"/>
  <cols>
    <col min="1" max="1" width="8.7265625" style="1"/>
  </cols>
  <sheetData>
    <row r="1" spans="1:1" s="3" customFormat="1" x14ac:dyDescent="0.35">
      <c r="A1" s="2" t="s">
        <v>15</v>
      </c>
    </row>
    <row r="2" spans="1:1" x14ac:dyDescent="0.35">
      <c r="A2" s="1">
        <v>0</v>
      </c>
    </row>
    <row r="3" spans="1:1" x14ac:dyDescent="0.35">
      <c r="A3" s="1">
        <v>1</v>
      </c>
    </row>
    <row r="4" spans="1:1" x14ac:dyDescent="0.35">
      <c r="A4" s="1">
        <v>2</v>
      </c>
    </row>
    <row r="5" spans="1:1" x14ac:dyDescent="0.35">
      <c r="A5" s="1">
        <v>3</v>
      </c>
    </row>
    <row r="6" spans="1:1" x14ac:dyDescent="0.35">
      <c r="A6" s="1">
        <v>4</v>
      </c>
    </row>
    <row r="7" spans="1:1" x14ac:dyDescent="0.35">
      <c r="A7" s="1">
        <v>5</v>
      </c>
    </row>
    <row r="8" spans="1:1" x14ac:dyDescent="0.35">
      <c r="A8" s="1">
        <v>6</v>
      </c>
    </row>
    <row r="9" spans="1:1" x14ac:dyDescent="0.35">
      <c r="A9" s="1">
        <v>7</v>
      </c>
    </row>
    <row r="10" spans="1:1" x14ac:dyDescent="0.35">
      <c r="A10" s="1">
        <v>8</v>
      </c>
    </row>
    <row r="11" spans="1:1" x14ac:dyDescent="0.35">
      <c r="A11" s="1">
        <v>9</v>
      </c>
    </row>
    <row r="12" spans="1:1" x14ac:dyDescent="0.35">
      <c r="A12" s="1" t="s">
        <v>16</v>
      </c>
    </row>
    <row r="13" spans="1:1" x14ac:dyDescent="0.35">
      <c r="A13" s="1" t="s">
        <v>17</v>
      </c>
    </row>
    <row r="14" spans="1:1" x14ac:dyDescent="0.35">
      <c r="A14" s="1" t="s">
        <v>18</v>
      </c>
    </row>
    <row r="15" spans="1:1" x14ac:dyDescent="0.35">
      <c r="A15" s="1" t="s">
        <v>19</v>
      </c>
    </row>
    <row r="16" spans="1:1" x14ac:dyDescent="0.35">
      <c r="A16" s="1" t="s">
        <v>20</v>
      </c>
    </row>
    <row r="17" spans="1:1" x14ac:dyDescent="0.35">
      <c r="A17" s="1" t="s">
        <v>21</v>
      </c>
    </row>
    <row r="18" spans="1:1" x14ac:dyDescent="0.35">
      <c r="A18" s="1" t="s">
        <v>22</v>
      </c>
    </row>
    <row r="19" spans="1:1" x14ac:dyDescent="0.35">
      <c r="A19" s="1" t="s">
        <v>23</v>
      </c>
    </row>
    <row r="20" spans="1:1" x14ac:dyDescent="0.35">
      <c r="A20" s="1" t="s">
        <v>24</v>
      </c>
    </row>
    <row r="21" spans="1:1" x14ac:dyDescent="0.35">
      <c r="A21" s="1" t="s">
        <v>25</v>
      </c>
    </row>
    <row r="22" spans="1:1" x14ac:dyDescent="0.35">
      <c r="A22" s="1" t="s">
        <v>26</v>
      </c>
    </row>
    <row r="23" spans="1:1" x14ac:dyDescent="0.35">
      <c r="A23" s="1" t="s">
        <v>27</v>
      </c>
    </row>
    <row r="24" spans="1:1" x14ac:dyDescent="0.35">
      <c r="A24" s="1" t="s">
        <v>28</v>
      </c>
    </row>
    <row r="25" spans="1:1" x14ac:dyDescent="0.35">
      <c r="A25" s="1" t="s">
        <v>29</v>
      </c>
    </row>
    <row r="26" spans="1:1" x14ac:dyDescent="0.35">
      <c r="A26" s="1" t="s">
        <v>44</v>
      </c>
    </row>
    <row r="27" spans="1:1" x14ac:dyDescent="0.35">
      <c r="A27" s="1" t="s">
        <v>45</v>
      </c>
    </row>
    <row r="28" spans="1:1" x14ac:dyDescent="0.35">
      <c r="A28" s="1" t="s">
        <v>46</v>
      </c>
    </row>
    <row r="29" spans="1:1" x14ac:dyDescent="0.35">
      <c r="A29" s="1" t="s">
        <v>47</v>
      </c>
    </row>
    <row r="30" spans="1:1" x14ac:dyDescent="0.35">
      <c r="A30" s="1" t="s">
        <v>48</v>
      </c>
    </row>
    <row r="31" spans="1:1" x14ac:dyDescent="0.35">
      <c r="A31" s="1" t="s">
        <v>49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50</v>
      </c>
    </row>
    <row r="46" spans="1:1" x14ac:dyDescent="0.35">
      <c r="A46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QR_Info</vt:lpstr>
      <vt:lpstr>Alphanumeric_Mode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Negrini Giacomo, IT</dc:creator>
  <cp:lastModifiedBy>Negrini Giacomo, IT</cp:lastModifiedBy>
  <dcterms:created xsi:type="dcterms:W3CDTF">2025-02-15T09:27:23Z</dcterms:created>
  <dcterms:modified xsi:type="dcterms:W3CDTF">2026-05-17T18:05:24Z</dcterms:modified>
</cp:coreProperties>
</file>